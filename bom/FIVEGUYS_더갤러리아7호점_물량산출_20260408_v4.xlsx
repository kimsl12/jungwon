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도면인덱스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분전반_E003" sheetId="3" state="visible" r:id="rId3"/>
    <sheet xmlns:r="http://schemas.openxmlformats.org/officeDocument/2006/relationships" name="조명범례_E002" sheetId="4" state="visible" r:id="rId4"/>
    <sheet xmlns:r="http://schemas.openxmlformats.org/officeDocument/2006/relationships" name="분전반_E004" sheetId="5" state="visible" r:id="rId5"/>
    <sheet xmlns:r="http://schemas.openxmlformats.org/officeDocument/2006/relationships" name="회로별_전선배관" sheetId="6" state="visible" r:id="rId6"/>
    <sheet xmlns:r="http://schemas.openxmlformats.org/officeDocument/2006/relationships" name="STEP3.5_검증리포트" sheetId="7" state="visible" r:id="rId7"/>
    <sheet xmlns:r="http://schemas.openxmlformats.org/officeDocument/2006/relationships" name="길이_산출" sheetId="8" state="visible" r:id="rId8"/>
    <sheet xmlns:r="http://schemas.openxmlformats.org/officeDocument/2006/relationships" name="물량내역서" sheetId="9" state="visible" r:id="rId9"/>
    <sheet xmlns:r="http://schemas.openxmlformats.org/officeDocument/2006/relationships" name="합산자재" sheetId="10" state="visible" r:id="rId10"/>
    <sheet xmlns:r="http://schemas.openxmlformats.org/officeDocument/2006/relationships" name="옵션" sheetId="11" state="visible" r:id="rId11"/>
    <sheet xmlns:r="http://schemas.openxmlformats.org/officeDocument/2006/relationships" name="투입계획" sheetId="12" state="visible" r:id="rId12"/>
    <sheet xmlns:r="http://schemas.openxmlformats.org/officeDocument/2006/relationships" name="비교_사람vsAI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"/>
  </numFmts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charset val="1"/>
      <family val="2"/>
      <b val="1"/>
      <color rgb="FFFFFFFF"/>
      <sz val="10"/>
    </font>
    <font>
      <name val="맑은 고딕"/>
      <charset val="1"/>
      <family val="0"/>
      <sz val="10"/>
    </font>
    <font>
      <name val="DejaVu Sans"/>
      <family val="2"/>
      <sz val="10"/>
    </font>
    <font>
      <name val="DejaVu Sans"/>
      <charset val="1"/>
      <family val="2"/>
      <sz val="10"/>
    </font>
    <font>
      <name val="DejaVu Sans"/>
      <family val="2"/>
      <color theme="1"/>
      <sz val="11"/>
    </font>
    <font>
      <name val="Cambria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sz val="10"/>
    </font>
    <font>
      <name val="DejaVu Sans"/>
      <charset val="1"/>
      <family val="2"/>
      <b val="1"/>
      <color rgb="FFFFFFFF"/>
      <sz val="11"/>
    </font>
    <font>
      <name val="Cambria"/>
      <charset val="1"/>
      <family val="0"/>
      <b val="1"/>
      <sz val="11"/>
    </font>
    <font>
      <name val="DejaVu Sans"/>
      <family val="2"/>
      <b val="1"/>
      <sz val="11"/>
    </font>
    <font>
      <name val="맑은 고딕"/>
      <charset val="1"/>
      <family val="0"/>
      <b val="1"/>
      <color rgb="FFFFFFFF"/>
      <sz val="11"/>
    </font>
    <font>
      <name val="DejaVu Sans"/>
      <family val="2"/>
      <b val="1"/>
      <color rgb="FFC00000"/>
      <sz val="11"/>
    </font>
    <font>
      <name val="DejaVu Sans"/>
      <charset val="1"/>
      <family val="2"/>
      <b val="1"/>
      <color rgb="FFC00000"/>
      <sz val="11"/>
    </font>
    <font>
      <name val="Cambria"/>
      <charset val="1"/>
      <family val="0"/>
      <b val="1"/>
      <sz val="13"/>
    </font>
    <font>
      <name val="DejaVu Sans"/>
      <family val="2"/>
      <b val="1"/>
      <sz val="13"/>
    </font>
    <font>
      <name val="DejaVu Sans"/>
      <family val="2"/>
      <i val="1"/>
      <sz val="9"/>
    </font>
    <font>
      <name val="Cambria"/>
      <charset val="1"/>
      <family val="0"/>
      <i val="1"/>
      <sz val="9"/>
    </font>
    <font>
      <name val="DejaVu Sans"/>
      <b val="1"/>
      <color rgb="FFFFFFFF"/>
      <sz val="11"/>
    </font>
    <font>
      <name val="돋움"/>
      <b val="1"/>
      <sz val="11"/>
    </font>
    <font>
      <name val="돋움"/>
      <sz val="11"/>
    </font>
    <font>
      <name val="DejaVu Sans"/>
      <b val="1"/>
      <sz val="11"/>
    </font>
    <font>
      <name val="DejaVu Sans"/>
      <b val="1"/>
      <sz val="12"/>
    </font>
    <font>
      <name val="DejaVu Sans"/>
      <b val="1"/>
      <sz val="14"/>
    </font>
    <font>
      <name val="돋움"/>
      <b val="1"/>
      <color rgb="FFFF0000"/>
      <sz val="11"/>
    </font>
  </fonts>
  <fills count="22">
    <fill>
      <patternFill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EEBF7"/>
        <bgColor rgb="FFDDEBF7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2F2F2"/>
        <bgColor rgb="FFEDEDED"/>
      </patternFill>
    </fill>
    <fill>
      <patternFill patternType="solid">
        <fgColor rgb="FF305496"/>
        <bgColor rgb="FF1F4E78"/>
      </patternFill>
    </fill>
    <fill>
      <patternFill patternType="solid">
        <fgColor rgb="FFDDEBF7"/>
        <bgColor rgb="FFDEEBF7"/>
      </patternFill>
    </fill>
    <fill>
      <patternFill patternType="solid">
        <fgColor rgb="FFFFE699"/>
        <bgColor rgb="FFFFEB9C"/>
      </patternFill>
    </fill>
    <fill>
      <patternFill patternType="solid">
        <fgColor rgb="FFD9E1F2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E699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0F0F0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7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bottom"/>
    </xf>
    <xf numFmtId="0" fontId="17" fillId="1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8" fillId="1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general" vertical="bottom"/>
    </xf>
    <xf numFmtId="0" fontId="7" fillId="15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bottom"/>
    </xf>
    <xf numFmtId="0" fontId="11" fillId="1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bottom"/>
    </xf>
    <xf numFmtId="0" fontId="17" fillId="13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8" fillId="1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general" vertical="bottom"/>
    </xf>
    <xf numFmtId="0" fontId="7" fillId="15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9" fillId="0" borderId="0" pivotButton="0" quotePrefix="0" xfId="0"/>
    <xf numFmtId="0" fontId="26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27" fillId="0" borderId="2" applyAlignment="1" pivotButton="0" quotePrefix="0" xfId="0">
      <alignment horizontal="left" vertical="center"/>
    </xf>
    <xf numFmtId="0" fontId="21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bottom"/>
    </xf>
    <xf numFmtId="0" fontId="11" fillId="10" borderId="0" applyAlignment="1" pivotButton="0" quotePrefix="0" xfId="0">
      <alignment horizontal="center" vertical="bottom"/>
    </xf>
    <xf numFmtId="0" fontId="17" fillId="6" borderId="0" applyAlignment="1" pivotButton="0" quotePrefix="0" xfId="0">
      <alignment horizontal="general" vertical="bottom"/>
    </xf>
    <xf numFmtId="0" fontId="25" fillId="16" borderId="2" applyAlignment="1" pivotButton="0" quotePrefix="0" xfId="0">
      <alignment horizontal="center" vertical="center"/>
    </xf>
    <xf numFmtId="0" fontId="26" fillId="17" borderId="2" applyAlignment="1" pivotButton="0" quotePrefix="0" xfId="0">
      <alignment horizontal="left" vertical="center"/>
    </xf>
    <xf numFmtId="0" fontId="0" fillId="17" borderId="2" pivotButton="0" quotePrefix="0" xfId="0"/>
    <xf numFmtId="0" fontId="26" fillId="18" borderId="2" applyAlignment="1" pivotButton="0" quotePrefix="0" xfId="0">
      <alignment horizontal="left" vertical="center"/>
    </xf>
    <xf numFmtId="0" fontId="0" fillId="18" borderId="2" pivotButton="0" quotePrefix="0" xfId="0"/>
    <xf numFmtId="164" fontId="27" fillId="0" borderId="2" applyAlignment="1" pivotButton="0" quotePrefix="0" xfId="0">
      <alignment horizontal="right" vertical="center"/>
    </xf>
    <xf numFmtId="0" fontId="27" fillId="19" borderId="2" applyAlignment="1" pivotButton="0" quotePrefix="0" xfId="0">
      <alignment horizontal="center" vertical="center"/>
    </xf>
    <xf numFmtId="0" fontId="27" fillId="19" borderId="2" applyAlignment="1" pivotButton="0" quotePrefix="0" xfId="0">
      <alignment horizontal="left" vertical="center"/>
    </xf>
    <xf numFmtId="3" fontId="27" fillId="19" borderId="2" applyAlignment="1" pivotButton="0" quotePrefix="0" xfId="0">
      <alignment horizontal="right" vertical="center"/>
    </xf>
    <xf numFmtId="164" fontId="27" fillId="19" borderId="2" applyAlignment="1" pivotButton="0" quotePrefix="0" xfId="0">
      <alignment horizontal="right" vertical="center"/>
    </xf>
    <xf numFmtId="0" fontId="26" fillId="20" borderId="2" applyAlignment="1" pivotButton="0" quotePrefix="0" xfId="0">
      <alignment horizontal="left" vertical="center"/>
    </xf>
    <xf numFmtId="0" fontId="0" fillId="20" borderId="2" pivotButton="0" quotePrefix="0" xfId="0"/>
    <xf numFmtId="0" fontId="27" fillId="20" borderId="2" applyAlignment="1" pivotButton="0" quotePrefix="0" xfId="0">
      <alignment horizontal="center" vertical="center"/>
    </xf>
    <xf numFmtId="0" fontId="27" fillId="20" borderId="2" applyAlignment="1" pivotButton="0" quotePrefix="0" xfId="0">
      <alignment horizontal="left" vertical="center"/>
    </xf>
    <xf numFmtId="164" fontId="27" fillId="20" borderId="2" applyAlignment="1" pivotButton="0" quotePrefix="0" xfId="0">
      <alignment horizontal="right" vertical="center"/>
    </xf>
    <xf numFmtId="3" fontId="27" fillId="20" borderId="2" applyAlignment="1" pivotButton="0" quotePrefix="0" xfId="0">
      <alignment horizontal="right" vertical="center"/>
    </xf>
    <xf numFmtId="3" fontId="27" fillId="0" borderId="2" applyAlignment="1" pivotButton="0" quotePrefix="0" xfId="0">
      <alignment horizontal="right" vertical="center"/>
    </xf>
    <xf numFmtId="0" fontId="28" fillId="0" borderId="2" pivotButton="0" quotePrefix="0" xfId="0"/>
    <xf numFmtId="0" fontId="27" fillId="18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0" fillId="0" borderId="0" applyAlignment="1" pivotButton="0" quotePrefix="0" xfId="0">
      <alignment horizontal="center" vertical="center"/>
    </xf>
    <xf numFmtId="0" fontId="27" fillId="21" borderId="2" applyAlignment="1" pivotButton="0" quotePrefix="0" xfId="0">
      <alignment horizontal="center" vertical="center"/>
    </xf>
    <xf numFmtId="0" fontId="27" fillId="21" borderId="2" applyAlignment="1" pivotButton="0" quotePrefix="0" xfId="0">
      <alignment horizontal="left" vertical="center"/>
    </xf>
    <xf numFmtId="0" fontId="27" fillId="21" borderId="2" applyAlignment="1" pivotButton="0" quotePrefix="0" xfId="0">
      <alignment horizontal="right" vertical="center"/>
    </xf>
    <xf numFmtId="0" fontId="27" fillId="18" borderId="2" applyAlignment="1" pivotButton="0" quotePrefix="0" xfId="0">
      <alignment horizontal="center" vertical="center"/>
    </xf>
    <xf numFmtId="0" fontId="27" fillId="18" borderId="2" applyAlignment="1" pivotButton="0" quotePrefix="0" xfId="0">
      <alignment horizontal="right" vertical="center"/>
    </xf>
    <xf numFmtId="0" fontId="27" fillId="20" borderId="2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/>
    </xf>
    <xf numFmtId="0" fontId="27" fillId="0" borderId="2" applyAlignment="1" pivotButton="0" quotePrefix="0" xfId="0">
      <alignment horizontal="right" vertical="center"/>
    </xf>
    <xf numFmtId="0" fontId="27" fillId="0" borderId="2" applyAlignment="1" pivotButton="0" quotePrefix="0" xfId="0">
      <alignment horizontal="center"/>
    </xf>
    <xf numFmtId="0" fontId="27" fillId="0" borderId="2" applyAlignment="1" pivotButton="0" quotePrefix="0" xfId="0">
      <alignment horizontal="left"/>
    </xf>
    <xf numFmtId="0" fontId="27" fillId="0" borderId="2" applyAlignment="1" pivotButton="0" quotePrefix="0" xfId="0">
      <alignment horizontal="right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FDA"/>
      <rgbColor rgb="FF888888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6EFCE"/>
      <rgbColor rgb="FFFFEB9C"/>
      <rgbColor rgb="FFEDEDED"/>
      <rgbColor rgb="FFFCE4D6"/>
      <rgbColor rgb="FFF2F2F2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77" min="1" max="1"/>
    <col width="14" customWidth="1" style="77" min="2" max="2"/>
    <col width="38" customWidth="1" style="77" min="3" max="3"/>
    <col width="26" customWidth="1" style="77" min="4" max="4"/>
    <col width="7" customWidth="1" style="77" min="5" max="6"/>
    <col width="11" customWidth="1" style="77" min="7" max="7"/>
    <col width="8" customWidth="1" style="77" min="8" max="8"/>
    <col width="38" customWidth="1" style="77" min="9" max="9"/>
  </cols>
  <sheetData>
    <row r="1" ht="24" customHeight="1" s="78">
      <c r="A1" s="79" t="inlineStr">
        <is>
          <t>PDF p.</t>
        </is>
      </c>
      <c r="B1" s="80" t="inlineStr">
        <is>
          <t>도면번호(추정)</t>
        </is>
      </c>
      <c r="C1" s="80" t="inlineStr">
        <is>
          <t>영문 제목</t>
        </is>
      </c>
      <c r="D1" s="80" t="inlineStr">
        <is>
          <t>한글 제목</t>
        </is>
      </c>
      <c r="E1" s="80" t="inlineStr">
        <is>
          <t>공종</t>
        </is>
      </c>
      <c r="F1" s="80" t="inlineStr">
        <is>
          <t>층</t>
        </is>
      </c>
      <c r="G1" s="80" t="inlineStr">
        <is>
          <t>스케일(A3)</t>
        </is>
      </c>
      <c r="H1" s="80" t="inlineStr">
        <is>
          <t>신뢰도</t>
        </is>
      </c>
      <c r="I1" s="80" t="inlineStr">
        <is>
          <t>비고</t>
        </is>
      </c>
    </row>
    <row r="2" ht="18.75" customHeight="1" s="78">
      <c r="A2" s="81" t="n">
        <v>1</v>
      </c>
      <c r="B2" s="81" t="inlineStr">
        <is>
          <t>COVER</t>
        </is>
      </c>
      <c r="C2" s="82" t="inlineStr">
        <is>
          <t>전체 표지</t>
        </is>
      </c>
      <c r="D2" s="82" t="inlineStr">
        <is>
          <t>전체 표지</t>
        </is>
      </c>
      <c r="E2" s="83" t="inlineStr">
        <is>
          <t>공통</t>
        </is>
      </c>
      <c r="F2" s="81" t="inlineStr">
        <is>
          <t>-</t>
        </is>
      </c>
      <c r="G2" s="81" t="inlineStr">
        <is>
          <t>NONE</t>
        </is>
      </c>
      <c r="H2" s="81" t="inlineStr">
        <is>
          <t>▲</t>
        </is>
      </c>
      <c r="I2" s="82" t="inlineStr">
        <is>
          <t>타이틀블록 텍스트 없음 — 시각확인 권장</t>
        </is>
      </c>
    </row>
    <row r="3" ht="18.75" customHeight="1" s="78">
      <c r="A3" s="84" t="n">
        <v>2</v>
      </c>
      <c r="B3" s="84" t="inlineStr">
        <is>
          <t>E-001</t>
        </is>
      </c>
      <c r="C3" s="85" t="inlineStr">
        <is>
          <t>DRAWING LIST</t>
        </is>
      </c>
      <c r="D3" s="86" t="inlineStr">
        <is>
          <t>전기 도면목록표</t>
        </is>
      </c>
      <c r="E3" s="87" t="inlineStr">
        <is>
          <t>전력</t>
        </is>
      </c>
      <c r="F3" s="87" t="inlineStr">
        <is>
          <t>공통</t>
        </is>
      </c>
      <c r="G3" s="84" t="inlineStr">
        <is>
          <t>NONE</t>
        </is>
      </c>
      <c r="H3" s="84" t="inlineStr">
        <is>
          <t>●</t>
        </is>
      </c>
      <c r="I3" s="85" t="n"/>
    </row>
    <row r="4" ht="18.75" customHeight="1" s="78">
      <c r="A4" s="84" t="n">
        <v>3</v>
      </c>
      <c r="B4" s="84" t="inlineStr">
        <is>
          <t>E-002</t>
        </is>
      </c>
      <c r="C4" s="85" t="inlineStr">
        <is>
          <t>ELECTRICAL ABBREVIATIONS &amp; LEGEND</t>
        </is>
      </c>
      <c r="D4" s="86" t="inlineStr">
        <is>
          <t>전기 범례</t>
        </is>
      </c>
      <c r="E4" s="87" t="inlineStr">
        <is>
          <t>전력</t>
        </is>
      </c>
      <c r="F4" s="87" t="inlineStr">
        <is>
          <t>공통</t>
        </is>
      </c>
      <c r="G4" s="84" t="inlineStr">
        <is>
          <t>NONE</t>
        </is>
      </c>
      <c r="H4" s="84" t="inlineStr">
        <is>
          <t>●</t>
        </is>
      </c>
      <c r="I4" s="86" t="inlineStr">
        <is>
          <t>전선·배관 매핑표 포함</t>
        </is>
      </c>
    </row>
    <row r="5" ht="18.75" customHeight="1" s="78">
      <c r="A5" s="84" t="n">
        <v>4</v>
      </c>
      <c r="B5" s="84" t="inlineStr">
        <is>
          <t>E-003</t>
        </is>
      </c>
      <c r="C5" s="85" t="inlineStr">
        <is>
          <t>PANEL BOARD SCHEDULE-1</t>
        </is>
      </c>
      <c r="D5" s="86" t="inlineStr">
        <is>
          <t>분전반 결선도-1</t>
        </is>
      </c>
      <c r="E5" s="87" t="inlineStr">
        <is>
          <t>전력</t>
        </is>
      </c>
      <c r="F5" s="87" t="inlineStr">
        <is>
          <t>공통</t>
        </is>
      </c>
      <c r="G5" s="84" t="inlineStr">
        <is>
          <t>NONE</t>
        </is>
      </c>
      <c r="H5" s="84" t="inlineStr">
        <is>
          <t>●</t>
        </is>
      </c>
      <c r="I5" s="86" t="inlineStr">
        <is>
          <t>회로별 부하·차단기 정보</t>
        </is>
      </c>
    </row>
    <row r="6" ht="18.75" customHeight="1" s="78">
      <c r="A6" s="84" t="n">
        <v>5</v>
      </c>
      <c r="B6" s="84" t="inlineStr">
        <is>
          <t>E-004</t>
        </is>
      </c>
      <c r="C6" s="85" t="inlineStr">
        <is>
          <t>PANEL BOARD SCHEDULE-2</t>
        </is>
      </c>
      <c r="D6" s="86" t="inlineStr">
        <is>
          <t>분전반 결선도-2</t>
        </is>
      </c>
      <c r="E6" s="87" t="inlineStr">
        <is>
          <t>전력</t>
        </is>
      </c>
      <c r="F6" s="87" t="inlineStr">
        <is>
          <t>공통</t>
        </is>
      </c>
      <c r="G6" s="84" t="inlineStr">
        <is>
          <t>NONE</t>
        </is>
      </c>
      <c r="H6" s="84" t="inlineStr">
        <is>
          <t>●</t>
        </is>
      </c>
      <c r="I6" s="86" t="inlineStr">
        <is>
          <t>회로별 부하·차단기 정보</t>
        </is>
      </c>
    </row>
    <row r="7" ht="18.75" customHeight="1" s="78">
      <c r="A7" s="84" t="n">
        <v>6</v>
      </c>
      <c r="B7" s="84" t="inlineStr">
        <is>
          <t>E-101</t>
        </is>
      </c>
      <c r="C7" s="85" t="inlineStr">
        <is>
          <t>1F MAIN CABLE PLAN</t>
        </is>
      </c>
      <c r="D7" s="85" t="inlineStr">
        <is>
          <t>1F 전력간선 평면도</t>
        </is>
      </c>
      <c r="E7" s="87" t="inlineStr">
        <is>
          <t>전력</t>
        </is>
      </c>
      <c r="F7" s="84" t="inlineStr">
        <is>
          <t>1F</t>
        </is>
      </c>
      <c r="G7" s="84" t="inlineStr">
        <is>
          <t>1:100</t>
        </is>
      </c>
      <c r="H7" s="84" t="inlineStr">
        <is>
          <t>●</t>
        </is>
      </c>
      <c r="I7" s="85" t="inlineStr">
        <is>
          <t>p6 시각확인 완료</t>
        </is>
      </c>
    </row>
    <row r="8" ht="18.75" customHeight="1" s="78">
      <c r="A8" s="84" t="n">
        <v>7</v>
      </c>
      <c r="B8" s="84" t="inlineStr">
        <is>
          <t>E-102</t>
        </is>
      </c>
      <c r="C8" s="85" t="inlineStr">
        <is>
          <t>2F MAIN CABLE PLAN</t>
        </is>
      </c>
      <c r="D8" s="85" t="inlineStr">
        <is>
          <t>2F 전력간선 평면도</t>
        </is>
      </c>
      <c r="E8" s="87" t="inlineStr">
        <is>
          <t>전력</t>
        </is>
      </c>
      <c r="F8" s="84" t="inlineStr">
        <is>
          <t>2F</t>
        </is>
      </c>
      <c r="G8" s="84" t="inlineStr">
        <is>
          <t>1:100</t>
        </is>
      </c>
      <c r="H8" s="84" t="inlineStr">
        <is>
          <t>●</t>
        </is>
      </c>
      <c r="I8" s="85" t="n"/>
    </row>
    <row r="9" ht="18.75" customHeight="1" s="78">
      <c r="A9" s="84" t="n">
        <v>8</v>
      </c>
      <c r="B9" s="84" t="inlineStr">
        <is>
          <t>E-103</t>
        </is>
      </c>
      <c r="C9" s="85" t="inlineStr">
        <is>
          <t>B1F MAIN CABLE PLAN</t>
        </is>
      </c>
      <c r="D9" s="85" t="inlineStr">
        <is>
          <t>B1F 전력간선 평면도</t>
        </is>
      </c>
      <c r="E9" s="87" t="inlineStr">
        <is>
          <t>전력</t>
        </is>
      </c>
      <c r="F9" s="84" t="inlineStr">
        <is>
          <t>B1F</t>
        </is>
      </c>
      <c r="G9" s="84" t="inlineStr">
        <is>
          <t>1:100</t>
        </is>
      </c>
      <c r="H9" s="84" t="inlineStr">
        <is>
          <t>●</t>
        </is>
      </c>
      <c r="I9" s="85" t="n"/>
    </row>
    <row r="10" ht="18.75" customHeight="1" s="78">
      <c r="A10" s="84" t="n">
        <v>9</v>
      </c>
      <c r="B10" s="84" t="inlineStr">
        <is>
          <t>E-104</t>
        </is>
      </c>
      <c r="C10" s="85" t="inlineStr">
        <is>
          <t>1F POWER PLAN</t>
        </is>
      </c>
      <c r="D10" s="85" t="inlineStr">
        <is>
          <t>1F 동력설비 평면도</t>
        </is>
      </c>
      <c r="E10" s="87" t="inlineStr">
        <is>
          <t>전력</t>
        </is>
      </c>
      <c r="F10" s="84" t="inlineStr">
        <is>
          <t>1F</t>
        </is>
      </c>
      <c r="G10" s="84" t="inlineStr">
        <is>
          <t>1:100</t>
        </is>
      </c>
      <c r="H10" s="84" t="inlineStr">
        <is>
          <t>●</t>
        </is>
      </c>
      <c r="I10" s="85" t="inlineStr">
        <is>
          <t>Beer Cooler 220V 등</t>
        </is>
      </c>
    </row>
    <row r="11" ht="18.75" customHeight="1" s="78">
      <c r="A11" s="84" t="n">
        <v>10</v>
      </c>
      <c r="B11" s="84" t="inlineStr">
        <is>
          <t>E-105</t>
        </is>
      </c>
      <c r="C11" s="85" t="inlineStr">
        <is>
          <t>2F POWER PLAN</t>
        </is>
      </c>
      <c r="D11" s="85" t="inlineStr">
        <is>
          <t>2F 동력설비 평면도</t>
        </is>
      </c>
      <c r="E11" s="87" t="inlineStr">
        <is>
          <t>전력</t>
        </is>
      </c>
      <c r="F11" s="84" t="inlineStr">
        <is>
          <t>2F</t>
        </is>
      </c>
      <c r="G11" s="84" t="inlineStr">
        <is>
          <t>1:100</t>
        </is>
      </c>
      <c r="H11" s="84" t="inlineStr">
        <is>
          <t>●</t>
        </is>
      </c>
      <c r="I11" s="85" t="n"/>
    </row>
    <row r="12" ht="18.75" customHeight="1" s="78">
      <c r="A12" s="84" t="n">
        <v>11</v>
      </c>
      <c r="B12" s="84" t="inlineStr">
        <is>
          <t>E-106</t>
        </is>
      </c>
      <c r="C12" s="85" t="inlineStr">
        <is>
          <t>B1F POWER PLAN</t>
        </is>
      </c>
      <c r="D12" s="85" t="inlineStr">
        <is>
          <t>B1F 동력설비 평면도</t>
        </is>
      </c>
      <c r="E12" s="87" t="inlineStr">
        <is>
          <t>전력</t>
        </is>
      </c>
      <c r="F12" s="84" t="inlineStr">
        <is>
          <t>B1F</t>
        </is>
      </c>
      <c r="G12" s="84" t="inlineStr">
        <is>
          <t>1:100</t>
        </is>
      </c>
      <c r="H12" s="84" t="inlineStr">
        <is>
          <t>●</t>
        </is>
      </c>
      <c r="I12" s="85" t="n"/>
    </row>
    <row r="13" ht="18.75" customHeight="1" s="78">
      <c r="A13" s="84" t="n">
        <v>12</v>
      </c>
      <c r="B13" s="84" t="inlineStr">
        <is>
          <t>E-107</t>
        </is>
      </c>
      <c r="C13" s="85" t="inlineStr">
        <is>
          <t>1F RECEPTACLE PLAN</t>
        </is>
      </c>
      <c r="D13" s="85" t="inlineStr">
        <is>
          <t>1F 전열설비 평면도</t>
        </is>
      </c>
      <c r="E13" s="87" t="inlineStr">
        <is>
          <t>전력</t>
        </is>
      </c>
      <c r="F13" s="84" t="inlineStr">
        <is>
          <t>1F</t>
        </is>
      </c>
      <c r="G13" s="84" t="inlineStr">
        <is>
          <t>1:100</t>
        </is>
      </c>
      <c r="H13" s="84" t="inlineStr">
        <is>
          <t>●</t>
        </is>
      </c>
      <c r="I13" s="85" t="n"/>
    </row>
    <row r="14" ht="18.75" customHeight="1" s="78">
      <c r="A14" s="84" t="n">
        <v>13</v>
      </c>
      <c r="B14" s="84" t="inlineStr">
        <is>
          <t>E-108</t>
        </is>
      </c>
      <c r="C14" s="85" t="inlineStr">
        <is>
          <t>2F RECEPTACLE PLAN</t>
        </is>
      </c>
      <c r="D14" s="85" t="inlineStr">
        <is>
          <t>2F 전열설비 평면도</t>
        </is>
      </c>
      <c r="E14" s="87" t="inlineStr">
        <is>
          <t>전력</t>
        </is>
      </c>
      <c r="F14" s="84" t="inlineStr">
        <is>
          <t>2F</t>
        </is>
      </c>
      <c r="G14" s="84" t="inlineStr">
        <is>
          <t>1:100</t>
        </is>
      </c>
      <c r="H14" s="84" t="inlineStr">
        <is>
          <t>●</t>
        </is>
      </c>
      <c r="I14" s="85" t="n"/>
    </row>
    <row r="15" ht="18.75" customHeight="1" s="78">
      <c r="A15" s="84" t="n">
        <v>14</v>
      </c>
      <c r="B15" s="84" t="inlineStr">
        <is>
          <t>E-109</t>
        </is>
      </c>
      <c r="C15" s="85" t="inlineStr">
        <is>
          <t>1F LIGHTING PLAN</t>
        </is>
      </c>
      <c r="D15" s="85" t="inlineStr">
        <is>
          <t>1F 전등설비 평면도</t>
        </is>
      </c>
      <c r="E15" s="87" t="inlineStr">
        <is>
          <t>전력</t>
        </is>
      </c>
      <c r="F15" s="84" t="inlineStr">
        <is>
          <t>1F</t>
        </is>
      </c>
      <c r="G15" s="84" t="inlineStr">
        <is>
          <t>1:100</t>
        </is>
      </c>
      <c r="H15" s="84" t="inlineStr">
        <is>
          <t>●</t>
        </is>
      </c>
      <c r="I15" s="85" t="n"/>
    </row>
    <row r="16" ht="18.75" customHeight="1" s="78">
      <c r="A16" s="84" t="n">
        <v>15</v>
      </c>
      <c r="B16" s="84" t="inlineStr">
        <is>
          <t>E-110</t>
        </is>
      </c>
      <c r="C16" s="85" t="inlineStr">
        <is>
          <t>2F LIGHTING PLAN</t>
        </is>
      </c>
      <c r="D16" s="85" t="inlineStr">
        <is>
          <t>2F 전등설비 평면도</t>
        </is>
      </c>
      <c r="E16" s="87" t="inlineStr">
        <is>
          <t>전력</t>
        </is>
      </c>
      <c r="F16" s="84" t="inlineStr">
        <is>
          <t>2F</t>
        </is>
      </c>
      <c r="G16" s="84" t="inlineStr">
        <is>
          <t>1:100</t>
        </is>
      </c>
      <c r="H16" s="84" t="inlineStr">
        <is>
          <t>●</t>
        </is>
      </c>
      <c r="I16" s="85" t="n"/>
    </row>
    <row r="17" ht="18.75" customHeight="1" s="78">
      <c r="A17" s="81" t="n">
        <v>16</v>
      </c>
      <c r="B17" s="81" t="inlineStr">
        <is>
          <t>COVER</t>
        </is>
      </c>
      <c r="C17" s="82" t="inlineStr">
        <is>
          <t>통신 표지</t>
        </is>
      </c>
      <c r="D17" s="82" t="inlineStr">
        <is>
          <t>통신 표지</t>
        </is>
      </c>
      <c r="E17" s="83" t="inlineStr">
        <is>
          <t>공통</t>
        </is>
      </c>
      <c r="F17" s="81" t="inlineStr">
        <is>
          <t>-</t>
        </is>
      </c>
      <c r="G17" s="81" t="inlineStr">
        <is>
          <t>NONE</t>
        </is>
      </c>
      <c r="H17" s="81" t="inlineStr">
        <is>
          <t>▲</t>
        </is>
      </c>
      <c r="I17" s="82" t="inlineStr">
        <is>
          <t>타이틀블록 텍스트 없음</t>
        </is>
      </c>
    </row>
    <row r="18" ht="18.75" customHeight="1" s="78">
      <c r="A18" s="88" t="n">
        <v>17</v>
      </c>
      <c r="B18" s="88" t="inlineStr">
        <is>
          <t>ET-001</t>
        </is>
      </c>
      <c r="C18" s="89" t="inlineStr">
        <is>
          <t>DRAWING LIST (COMMUNICATION)</t>
        </is>
      </c>
      <c r="D18" s="90" t="inlineStr">
        <is>
          <t>통신 도면목록표</t>
        </is>
      </c>
      <c r="E18" s="91" t="inlineStr">
        <is>
          <t>통신</t>
        </is>
      </c>
      <c r="F18" s="91" t="inlineStr">
        <is>
          <t>공통</t>
        </is>
      </c>
      <c r="G18" s="88" t="inlineStr">
        <is>
          <t>NONE</t>
        </is>
      </c>
      <c r="H18" s="88" t="inlineStr">
        <is>
          <t>●</t>
        </is>
      </c>
      <c r="I18" s="89" t="n"/>
    </row>
    <row r="19" ht="18.75" customHeight="1" s="78">
      <c r="A19" s="88" t="n">
        <v>18</v>
      </c>
      <c r="B19" s="88" t="inlineStr">
        <is>
          <t>ET-002</t>
        </is>
      </c>
      <c r="C19" s="89" t="inlineStr">
        <is>
          <t>COMMUNICATION ABBREVIATIONS &amp; LEGEND</t>
        </is>
      </c>
      <c r="D19" s="90" t="inlineStr">
        <is>
          <t>통신 범례</t>
        </is>
      </c>
      <c r="E19" s="91" t="inlineStr">
        <is>
          <t>통신</t>
        </is>
      </c>
      <c r="F19" s="91" t="inlineStr">
        <is>
          <t>공통</t>
        </is>
      </c>
      <c r="G19" s="88" t="inlineStr">
        <is>
          <t>NONE</t>
        </is>
      </c>
      <c r="H19" s="88" t="inlineStr">
        <is>
          <t>●</t>
        </is>
      </c>
      <c r="I19" s="89" t="n"/>
    </row>
    <row r="20" ht="18.75" customHeight="1" s="78">
      <c r="A20" s="88" t="n">
        <v>19</v>
      </c>
      <c r="B20" s="88" t="inlineStr">
        <is>
          <t>ET-101</t>
        </is>
      </c>
      <c r="C20" s="89" t="inlineStr">
        <is>
          <t>1F COMMUNICATION PLAN</t>
        </is>
      </c>
      <c r="D20" s="89" t="inlineStr">
        <is>
          <t>1F 통신 평면도</t>
        </is>
      </c>
      <c r="E20" s="91" t="inlineStr">
        <is>
          <t>통신</t>
        </is>
      </c>
      <c r="F20" s="88" t="inlineStr">
        <is>
          <t>1F</t>
        </is>
      </c>
      <c r="G20" s="88" t="inlineStr">
        <is>
          <t>1:100</t>
        </is>
      </c>
      <c r="H20" s="88" t="inlineStr">
        <is>
          <t>●</t>
        </is>
      </c>
      <c r="I20" s="89" t="n"/>
    </row>
    <row r="21" ht="18.75" customHeight="1" s="78">
      <c r="A21" s="88" t="n">
        <v>20</v>
      </c>
      <c r="B21" s="88" t="inlineStr">
        <is>
          <t>ET-102</t>
        </is>
      </c>
      <c r="C21" s="89" t="inlineStr">
        <is>
          <t>2F COMMUNICATION PLAN</t>
        </is>
      </c>
      <c r="D21" s="89" t="inlineStr">
        <is>
          <t>2F 통신 평면도</t>
        </is>
      </c>
      <c r="E21" s="91" t="inlineStr">
        <is>
          <t>통신</t>
        </is>
      </c>
      <c r="F21" s="88" t="inlineStr">
        <is>
          <t>2F</t>
        </is>
      </c>
      <c r="G21" s="88" t="inlineStr">
        <is>
          <t>1:100</t>
        </is>
      </c>
      <c r="H21" s="88" t="inlineStr">
        <is>
          <t>●</t>
        </is>
      </c>
      <c r="I21" s="89" t="n"/>
    </row>
    <row r="22" ht="18.75" customHeight="1" s="78">
      <c r="A22" s="88" t="n">
        <v>21</v>
      </c>
      <c r="B22" s="88" t="inlineStr">
        <is>
          <t>ET-1xx</t>
        </is>
      </c>
      <c r="C22" s="89" t="inlineStr">
        <is>
          <t>1F PUBLIC ADDRESS SYSTEM PLAN</t>
        </is>
      </c>
      <c r="D22" s="89" t="inlineStr">
        <is>
          <t>1F 방송 평면도</t>
        </is>
      </c>
      <c r="E22" s="91" t="inlineStr">
        <is>
          <t>통신</t>
        </is>
      </c>
      <c r="F22" s="88" t="inlineStr">
        <is>
          <t>1F</t>
        </is>
      </c>
      <c r="G22" s="88" t="inlineStr">
        <is>
          <t>1:100</t>
        </is>
      </c>
      <c r="H22" s="88" t="inlineStr">
        <is>
          <t>●</t>
        </is>
      </c>
      <c r="I22" s="89" t="n"/>
    </row>
    <row r="23" ht="18.75" customHeight="1" s="78">
      <c r="A23" s="88" t="n">
        <v>22</v>
      </c>
      <c r="B23" s="88" t="inlineStr">
        <is>
          <t>ET-1xx</t>
        </is>
      </c>
      <c r="C23" s="89" t="inlineStr">
        <is>
          <t>2F PUBLIC ADDRESS SYSTEM PLAN</t>
        </is>
      </c>
      <c r="D23" s="89" t="inlineStr">
        <is>
          <t>2F 방송 평면도</t>
        </is>
      </c>
      <c r="E23" s="91" t="inlineStr">
        <is>
          <t>통신</t>
        </is>
      </c>
      <c r="F23" s="88" t="inlineStr">
        <is>
          <t>2F</t>
        </is>
      </c>
      <c r="G23" s="88" t="inlineStr">
        <is>
          <t>1:100</t>
        </is>
      </c>
      <c r="H23" s="88" t="inlineStr">
        <is>
          <t>●</t>
        </is>
      </c>
      <c r="I23" s="89" t="n"/>
    </row>
    <row r="24" ht="18.75" customHeight="1" s="78">
      <c r="A24" s="92" t="n">
        <v>23</v>
      </c>
      <c r="B24" s="92" t="inlineStr">
        <is>
          <t>ET-1xx</t>
        </is>
      </c>
      <c r="C24" s="93" t="inlineStr">
        <is>
          <t>1F CCTV PLAN</t>
        </is>
      </c>
      <c r="D24" s="93" t="inlineStr">
        <is>
          <t>1F CCTV 평면도</t>
        </is>
      </c>
      <c r="E24" s="92" t="inlineStr">
        <is>
          <t>CCTV</t>
        </is>
      </c>
      <c r="F24" s="92" t="inlineStr">
        <is>
          <t>1F</t>
        </is>
      </c>
      <c r="G24" s="92" t="inlineStr">
        <is>
          <t>1:100</t>
        </is>
      </c>
      <c r="H24" s="92" t="inlineStr">
        <is>
          <t>●</t>
        </is>
      </c>
      <c r="I24" s="93" t="n"/>
    </row>
    <row r="25" ht="18.75" customHeight="1" s="78">
      <c r="A25" s="92" t="n">
        <v>24</v>
      </c>
      <c r="B25" s="92" t="inlineStr">
        <is>
          <t>ET-1xx</t>
        </is>
      </c>
      <c r="C25" s="93" t="inlineStr">
        <is>
          <t>2F CCTV PLAN</t>
        </is>
      </c>
      <c r="D25" s="93" t="inlineStr">
        <is>
          <t>2F CCTV 평면도</t>
        </is>
      </c>
      <c r="E25" s="92" t="inlineStr">
        <is>
          <t>CCTV</t>
        </is>
      </c>
      <c r="F25" s="92" t="inlineStr">
        <is>
          <t>2F</t>
        </is>
      </c>
      <c r="G25" s="92" t="inlineStr">
        <is>
          <t>1:100</t>
        </is>
      </c>
      <c r="H25" s="92" t="inlineStr">
        <is>
          <t>●</t>
        </is>
      </c>
      <c r="I25" s="93" t="n"/>
    </row>
    <row r="26" ht="18.75" customHeight="1" s="78">
      <c r="A26" s="88" t="n">
        <v>25</v>
      </c>
      <c r="B26" s="88" t="inlineStr">
        <is>
          <t>ET-2xx</t>
        </is>
      </c>
      <c r="C26" s="89" t="inlineStr">
        <is>
          <t>IT RACK DETAIL</t>
        </is>
      </c>
      <c r="D26" s="89" t="inlineStr">
        <is>
          <t>IT 랙 상세도</t>
        </is>
      </c>
      <c r="E26" s="91" t="inlineStr">
        <is>
          <t>통신</t>
        </is>
      </c>
      <c r="F26" s="91" t="inlineStr">
        <is>
          <t>공통</t>
        </is>
      </c>
      <c r="G26" s="88" t="inlineStr">
        <is>
          <t>NONE</t>
        </is>
      </c>
      <c r="H26" s="88" t="inlineStr">
        <is>
          <t>●</t>
        </is>
      </c>
      <c r="I26" s="89" t="n"/>
    </row>
    <row r="27" ht="18.75" customHeight="1" s="78">
      <c r="A27" s="81" t="n">
        <v>26</v>
      </c>
      <c r="B27" s="81" t="inlineStr">
        <is>
          <t>COVER</t>
        </is>
      </c>
      <c r="C27" s="82" t="inlineStr">
        <is>
          <t>소방 표지</t>
        </is>
      </c>
      <c r="D27" s="82" t="inlineStr">
        <is>
          <t>소방 표지</t>
        </is>
      </c>
      <c r="E27" s="83" t="inlineStr">
        <is>
          <t>공통</t>
        </is>
      </c>
      <c r="F27" s="81" t="inlineStr">
        <is>
          <t>-</t>
        </is>
      </c>
      <c r="G27" s="81" t="inlineStr">
        <is>
          <t>NONE</t>
        </is>
      </c>
      <c r="H27" s="81" t="inlineStr">
        <is>
          <t>▲</t>
        </is>
      </c>
      <c r="I27" s="82" t="inlineStr">
        <is>
          <t>타이틀블록 텍스트 없음</t>
        </is>
      </c>
    </row>
    <row r="28" ht="18.75" customHeight="1" s="78">
      <c r="A28" s="94" t="n">
        <v>27</v>
      </c>
      <c r="B28" s="94" t="inlineStr">
        <is>
          <t>EF-001</t>
        </is>
      </c>
      <c r="C28" s="95" t="inlineStr">
        <is>
          <t>DRAWING LIST (FIRE ALARM)</t>
        </is>
      </c>
      <c r="D28" s="96" t="inlineStr">
        <is>
          <t>소방 도면목록표</t>
        </is>
      </c>
      <c r="E28" s="97" t="inlineStr">
        <is>
          <t>소방</t>
        </is>
      </c>
      <c r="F28" s="97" t="inlineStr">
        <is>
          <t>공통</t>
        </is>
      </c>
      <c r="G28" s="94" t="inlineStr">
        <is>
          <t>NONE</t>
        </is>
      </c>
      <c r="H28" s="94" t="inlineStr">
        <is>
          <t>●</t>
        </is>
      </c>
      <c r="I28" s="95" t="n"/>
    </row>
    <row r="29" ht="18.75" customHeight="1" s="78">
      <c r="A29" s="94" t="n">
        <v>28</v>
      </c>
      <c r="B29" s="94" t="inlineStr">
        <is>
          <t>EF-002</t>
        </is>
      </c>
      <c r="C29" s="95" t="inlineStr">
        <is>
          <t>FIRE ALARM ABBREVIATIONS &amp; LEGEND</t>
        </is>
      </c>
      <c r="D29" s="96" t="inlineStr">
        <is>
          <t>소방 범례</t>
        </is>
      </c>
      <c r="E29" s="97" t="inlineStr">
        <is>
          <t>소방</t>
        </is>
      </c>
      <c r="F29" s="97" t="inlineStr">
        <is>
          <t>공통</t>
        </is>
      </c>
      <c r="G29" s="94" t="inlineStr">
        <is>
          <t>NONE</t>
        </is>
      </c>
      <c r="H29" s="94" t="inlineStr">
        <is>
          <t>●</t>
        </is>
      </c>
      <c r="I29" s="95" t="n"/>
    </row>
    <row r="30" ht="18.75" customHeight="1" s="78">
      <c r="A30" s="94" t="n">
        <v>29</v>
      </c>
      <c r="B30" s="94" t="inlineStr">
        <is>
          <t>EF-101</t>
        </is>
      </c>
      <c r="C30" s="95" t="inlineStr">
        <is>
          <t>1F FIRE ALARM SYSTEM PLAN</t>
        </is>
      </c>
      <c r="D30" s="95" t="inlineStr">
        <is>
          <t>1F 자동화재탐지 평면도</t>
        </is>
      </c>
      <c r="E30" s="97" t="inlineStr">
        <is>
          <t>소방</t>
        </is>
      </c>
      <c r="F30" s="94" t="inlineStr">
        <is>
          <t>1F</t>
        </is>
      </c>
      <c r="G30" s="94" t="inlineStr">
        <is>
          <t>1:100</t>
        </is>
      </c>
      <c r="H30" s="94" t="inlineStr">
        <is>
          <t>●</t>
        </is>
      </c>
      <c r="I30" s="95" t="n"/>
    </row>
    <row r="31" ht="18.75" customHeight="1" s="78">
      <c r="A31" s="94" t="n">
        <v>30</v>
      </c>
      <c r="B31" s="94" t="inlineStr">
        <is>
          <t>EF-102</t>
        </is>
      </c>
      <c r="C31" s="95" t="inlineStr">
        <is>
          <t>2F FIRE ALARM SYSTEM PLAN</t>
        </is>
      </c>
      <c r="D31" s="95" t="inlineStr">
        <is>
          <t>2F 자동화재탐지 평면도</t>
        </is>
      </c>
      <c r="E31" s="97" t="inlineStr">
        <is>
          <t>소방</t>
        </is>
      </c>
      <c r="F31" s="94" t="inlineStr">
        <is>
          <t>2F</t>
        </is>
      </c>
      <c r="G31" s="94" t="inlineStr">
        <is>
          <t>1:100</t>
        </is>
      </c>
      <c r="H31" s="94" t="inlineStr">
        <is>
          <t>●</t>
        </is>
      </c>
      <c r="I31" s="95" t="n"/>
    </row>
    <row r="32" ht="18.75" customHeight="1" s="78">
      <c r="A32" s="94" t="n">
        <v>31</v>
      </c>
      <c r="B32" s="94" t="inlineStr">
        <is>
          <t>EF-103</t>
        </is>
      </c>
      <c r="C32" s="95" t="inlineStr">
        <is>
          <t>1F STROBE PLAN</t>
        </is>
      </c>
      <c r="D32" s="95" t="inlineStr">
        <is>
          <t>1F 시각경보 평면도</t>
        </is>
      </c>
      <c r="E32" s="97" t="inlineStr">
        <is>
          <t>소방</t>
        </is>
      </c>
      <c r="F32" s="94" t="inlineStr">
        <is>
          <t>1F</t>
        </is>
      </c>
      <c r="G32" s="94" t="inlineStr">
        <is>
          <t>1:100</t>
        </is>
      </c>
      <c r="H32" s="94" t="inlineStr">
        <is>
          <t>●</t>
        </is>
      </c>
      <c r="I32" s="95" t="n"/>
    </row>
    <row r="33" ht="18.75" customHeight="1" s="78">
      <c r="A33" s="94" t="n">
        <v>32</v>
      </c>
      <c r="B33" s="94" t="inlineStr">
        <is>
          <t>EF-104</t>
        </is>
      </c>
      <c r="C33" s="95" t="inlineStr">
        <is>
          <t>2F STROBE PLAN</t>
        </is>
      </c>
      <c r="D33" s="95" t="inlineStr">
        <is>
          <t>2F 시각경보 평면도</t>
        </is>
      </c>
      <c r="E33" s="97" t="inlineStr">
        <is>
          <t>소방</t>
        </is>
      </c>
      <c r="F33" s="94" t="inlineStr">
        <is>
          <t>2F</t>
        </is>
      </c>
      <c r="G33" s="94" t="inlineStr">
        <is>
          <t>1:100</t>
        </is>
      </c>
      <c r="H33" s="94" t="inlineStr">
        <is>
          <t>●</t>
        </is>
      </c>
      <c r="I33" s="95" t="n"/>
    </row>
    <row r="34" ht="18.75" customHeight="1" s="78">
      <c r="A34" s="94" t="n">
        <v>33</v>
      </c>
      <c r="B34" s="94" t="inlineStr">
        <is>
          <t>EF-105</t>
        </is>
      </c>
      <c r="C34" s="95" t="inlineStr">
        <is>
          <t>1F EXIT SIGN PLAN</t>
        </is>
      </c>
      <c r="D34" s="95" t="inlineStr">
        <is>
          <t>1F 유도등 평면도</t>
        </is>
      </c>
      <c r="E34" s="97" t="inlineStr">
        <is>
          <t>소방</t>
        </is>
      </c>
      <c r="F34" s="94" t="inlineStr">
        <is>
          <t>1F</t>
        </is>
      </c>
      <c r="G34" s="94" t="inlineStr">
        <is>
          <t>1:100</t>
        </is>
      </c>
      <c r="H34" s="94" t="inlineStr">
        <is>
          <t>●</t>
        </is>
      </c>
      <c r="I34" s="95" t="n"/>
    </row>
    <row r="35" ht="18.75" customHeight="1" s="78">
      <c r="A35" s="94" t="n">
        <v>34</v>
      </c>
      <c r="B35" s="94" t="inlineStr">
        <is>
          <t>EF-106</t>
        </is>
      </c>
      <c r="C35" s="95" t="inlineStr">
        <is>
          <t>2F EXIT SIGN PLAN</t>
        </is>
      </c>
      <c r="D35" s="95" t="inlineStr">
        <is>
          <t>2F 유도등 평면도</t>
        </is>
      </c>
      <c r="E35" s="97" t="inlineStr">
        <is>
          <t>소방</t>
        </is>
      </c>
      <c r="F35" s="94" t="inlineStr">
        <is>
          <t>2F</t>
        </is>
      </c>
      <c r="G35" s="94" t="inlineStr">
        <is>
          <t>1:100</t>
        </is>
      </c>
      <c r="H35" s="94" t="inlineStr">
        <is>
          <t>●</t>
        </is>
      </c>
      <c r="I35" s="95" t="n"/>
    </row>
    <row r="36" ht="18.75" customHeight="1" s="78">
      <c r="A36" s="94" t="n">
        <v>35</v>
      </c>
      <c r="B36" s="94" t="inlineStr">
        <is>
          <t>EF-107</t>
        </is>
      </c>
      <c r="C36" s="95" t="inlineStr">
        <is>
          <t>1F AUTOMATIC DOOR CONTROL PLAN</t>
        </is>
      </c>
      <c r="D36" s="95" t="inlineStr">
        <is>
          <t>1F 자동문 제어 평면도</t>
        </is>
      </c>
      <c r="E36" s="97" t="inlineStr">
        <is>
          <t>소방</t>
        </is>
      </c>
      <c r="F36" s="94" t="inlineStr">
        <is>
          <t>1F</t>
        </is>
      </c>
      <c r="G36" s="94" t="inlineStr">
        <is>
          <t>1:100</t>
        </is>
      </c>
      <c r="H36" s="94" t="inlineStr">
        <is>
          <t>●</t>
        </is>
      </c>
      <c r="I36" s="96" t="inlineStr">
        <is>
          <t>방화문 연동 추정</t>
        </is>
      </c>
    </row>
    <row r="37" ht="18.75" customHeight="1" s="78">
      <c r="A37" s="94" t="n">
        <v>36</v>
      </c>
      <c r="B37" s="94" t="inlineStr">
        <is>
          <t>EF-108</t>
        </is>
      </c>
      <c r="C37" s="95" t="inlineStr">
        <is>
          <t>2F AUTOMATIC DOOR CONTROL PLAN</t>
        </is>
      </c>
      <c r="D37" s="95" t="inlineStr">
        <is>
          <t>2F 자동문 제어 평면도</t>
        </is>
      </c>
      <c r="E37" s="97" t="inlineStr">
        <is>
          <t>소방</t>
        </is>
      </c>
      <c r="F37" s="94" t="inlineStr">
        <is>
          <t>2F</t>
        </is>
      </c>
      <c r="G37" s="94" t="inlineStr">
        <is>
          <t>1:100</t>
        </is>
      </c>
      <c r="H37" s="94" t="inlineStr">
        <is>
          <t>●</t>
        </is>
      </c>
      <c r="I37" s="96" t="inlineStr">
        <is>
          <t>방화문 연동 추정</t>
        </is>
      </c>
    </row>
    <row r="38" ht="18.75" customHeight="1" s="78">
      <c r="A38" s="94" t="n">
        <v>37</v>
      </c>
      <c r="B38" s="94" t="inlineStr">
        <is>
          <t>EF-109</t>
        </is>
      </c>
      <c r="C38" s="95" t="inlineStr">
        <is>
          <t>1F EMERGENCY LIGHTING PLAN</t>
        </is>
      </c>
      <c r="D38" s="95" t="inlineStr">
        <is>
          <t>1F 비상조명 평면도</t>
        </is>
      </c>
      <c r="E38" s="97" t="inlineStr">
        <is>
          <t>소방</t>
        </is>
      </c>
      <c r="F38" s="94" t="inlineStr">
        <is>
          <t>1F</t>
        </is>
      </c>
      <c r="G38" s="94" t="inlineStr">
        <is>
          <t>1:100</t>
        </is>
      </c>
      <c r="H38" s="94" t="inlineStr">
        <is>
          <t>●</t>
        </is>
      </c>
      <c r="I38" s="95" t="n"/>
    </row>
    <row r="39" ht="18.75" customHeight="1" s="78">
      <c r="A39" s="94" t="n">
        <v>38</v>
      </c>
      <c r="B39" s="94" t="inlineStr">
        <is>
          <t>EF-110</t>
        </is>
      </c>
      <c r="C39" s="95" t="inlineStr">
        <is>
          <t>2F EMERGENCY LIGHTING PLAN</t>
        </is>
      </c>
      <c r="D39" s="95" t="inlineStr">
        <is>
          <t>2F 비상조명 평면도</t>
        </is>
      </c>
      <c r="E39" s="97" t="inlineStr">
        <is>
          <t>소방</t>
        </is>
      </c>
      <c r="F39" s="94" t="inlineStr">
        <is>
          <t>2F</t>
        </is>
      </c>
      <c r="G39" s="94" t="inlineStr">
        <is>
          <t>1:100</t>
        </is>
      </c>
      <c r="H39" s="94" t="inlineStr">
        <is>
          <t>●</t>
        </is>
      </c>
      <c r="I39" s="95" t="n"/>
    </row>
    <row r="40" ht="18.75" customHeight="1" s="78">
      <c r="A40" s="94" t="n">
        <v>39</v>
      </c>
      <c r="B40" s="94" t="inlineStr">
        <is>
          <t>EF-111</t>
        </is>
      </c>
      <c r="C40" s="95" t="inlineStr">
        <is>
          <t>1F SOUND THE ALARM PLAN</t>
        </is>
      </c>
      <c r="D40" s="95" t="inlineStr">
        <is>
          <t>1F 비상경보 평면도</t>
        </is>
      </c>
      <c r="E40" s="97" t="inlineStr">
        <is>
          <t>소방</t>
        </is>
      </c>
      <c r="F40" s="94" t="inlineStr">
        <is>
          <t>1F</t>
        </is>
      </c>
      <c r="G40" s="94" t="inlineStr">
        <is>
          <t>1:100</t>
        </is>
      </c>
      <c r="H40" s="94" t="inlineStr">
        <is>
          <t>●</t>
        </is>
      </c>
      <c r="I40" s="95" t="n"/>
    </row>
    <row r="41" ht="18.75" customHeight="1" s="78">
      <c r="A41" s="94" t="n">
        <v>40</v>
      </c>
      <c r="B41" s="94" t="inlineStr">
        <is>
          <t>EF-112</t>
        </is>
      </c>
      <c r="C41" s="95" t="inlineStr">
        <is>
          <t>2F SOUND THE ALARM PLAN</t>
        </is>
      </c>
      <c r="D41" s="95" t="inlineStr">
        <is>
          <t>2F 비상경보 평면도</t>
        </is>
      </c>
      <c r="E41" s="97" t="inlineStr">
        <is>
          <t>소방</t>
        </is>
      </c>
      <c r="F41" s="94" t="inlineStr">
        <is>
          <t>2F</t>
        </is>
      </c>
      <c r="G41" s="94" t="inlineStr">
        <is>
          <t>1:100</t>
        </is>
      </c>
      <c r="H41" s="94" t="inlineStr">
        <is>
          <t>●</t>
        </is>
      </c>
      <c r="I41" s="9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77" min="1" max="1"/>
    <col width="75" customWidth="1" style="77" min="2" max="2"/>
  </cols>
  <sheetData>
    <row r="1" ht="15" customHeight="1" s="78">
      <c r="A1" s="98" t="inlineStr">
        <is>
          <t>항목</t>
        </is>
      </c>
      <c r="B1" s="98" t="inlineStr">
        <is>
          <t>값</t>
        </is>
      </c>
    </row>
    <row r="2" ht="15" customHeight="1" s="78">
      <c r="A2" s="99" t="inlineStr">
        <is>
          <t>프로젝트명</t>
        </is>
      </c>
      <c r="B2" s="99" t="inlineStr">
        <is>
          <t>파이브가이즈 7호점 (Five Guys 7th)</t>
        </is>
      </c>
    </row>
    <row r="3" ht="15" customHeight="1" s="78">
      <c r="A3" s="99" t="inlineStr">
        <is>
          <t>도면 작성일</t>
        </is>
      </c>
      <c r="B3" s="100" t="inlineStr">
        <is>
          <t>2025-04-18</t>
        </is>
      </c>
    </row>
    <row r="4" ht="15" customHeight="1" s="78">
      <c r="A4" s="99" t="inlineStr">
        <is>
          <t>설계 도구</t>
        </is>
      </c>
      <c r="B4" s="100" t="inlineStr">
        <is>
          <t>AutoCAD 2021</t>
        </is>
      </c>
    </row>
    <row r="5" ht="15" customHeight="1" s="78">
      <c r="A5" s="99" t="inlineStr">
        <is>
          <t>용도</t>
        </is>
      </c>
      <c r="B5" s="100" t="inlineStr">
        <is>
          <t>F&amp;B (햄버거 QSR)</t>
        </is>
      </c>
    </row>
    <row r="6" ht="15" customHeight="1" s="78">
      <c r="A6" s="99" t="inlineStr">
        <is>
          <t>층 구성</t>
        </is>
      </c>
      <c r="B6" s="100" t="inlineStr">
        <is>
          <t>B1F + 1F + 2F (3개층, B1F는 간선·동력만)</t>
        </is>
      </c>
    </row>
    <row r="7" ht="15" customHeight="1" s="78">
      <c r="A7" s="99" t="inlineStr">
        <is>
          <t>면적 (메인)</t>
        </is>
      </c>
      <c r="B7" s="100" t="inlineStr">
        <is>
          <t>Total 400.2㎡ / Dining 263.2 / Kitchen 40.7 / BOH 80.6 / Stairs 15.7</t>
        </is>
      </c>
    </row>
    <row r="8" ht="15" customHeight="1" s="78">
      <c r="A8" s="99" t="inlineStr">
        <is>
          <t>좌석</t>
        </is>
      </c>
      <c r="B8" s="100" t="inlineStr">
        <is>
          <t>112석</t>
        </is>
      </c>
    </row>
    <row r="9" ht="15" customHeight="1" s="78">
      <c r="A9" s="99" t="inlineStr">
        <is>
          <t>스케일</t>
        </is>
      </c>
      <c r="B9" s="100" t="inlineStr">
        <is>
          <t>A1=1/50, A3=1/100 (전체 동일, 전등도면 포함)</t>
        </is>
      </c>
    </row>
    <row r="10" ht="15" customHeight="1" s="78">
      <c r="A10" s="100" t="inlineStr">
        <is>
          <t>PDF 총 페이지</t>
        </is>
      </c>
      <c r="B10" s="100" t="inlineStr">
        <is>
          <t>40 페이지</t>
        </is>
      </c>
    </row>
    <row r="11" ht="15" customHeight="1" s="78">
      <c r="A11" s="100" t="n"/>
      <c r="B11" s="100" t="n"/>
    </row>
    <row r="12" ht="15" customHeight="1" s="78">
      <c r="A12" s="99" t="inlineStr">
        <is>
          <t>공종별 도면 수</t>
        </is>
      </c>
      <c r="B12" s="100" t="n"/>
    </row>
    <row r="13" ht="15" customHeight="1" s="78">
      <c r="A13" s="99" t="inlineStr">
        <is>
          <t xml:space="preserve">  전력 (E-시리즈)</t>
        </is>
      </c>
      <c r="B13" s="100" t="inlineStr">
        <is>
          <t>14 장 (E-001 목록, E-002 범례, E-003·004 분전반결선도, E-101~110 평면도10)</t>
        </is>
      </c>
    </row>
    <row r="14" ht="15" customHeight="1" s="78">
      <c r="A14" s="99" t="inlineStr">
        <is>
          <t xml:space="preserve">  통신 (ET 001~)</t>
        </is>
      </c>
      <c r="B14" s="100" t="inlineStr">
        <is>
          <t>7 장 (도면목록·범례·평면도2·방송2·IT랙)</t>
        </is>
      </c>
    </row>
    <row r="15" ht="15" customHeight="1" s="78">
      <c r="A15" s="100" t="inlineStr">
        <is>
          <t xml:space="preserve">  CCTV (ET 1xx)</t>
        </is>
      </c>
      <c r="B15" s="100" t="inlineStr">
        <is>
          <t>2 장 (1F/2F)</t>
        </is>
      </c>
    </row>
    <row r="16" ht="15" customHeight="1" s="78">
      <c r="A16" s="99" t="inlineStr">
        <is>
          <t xml:space="preserve">  소방 (EF-시리즈)</t>
        </is>
      </c>
      <c r="B16" s="100" t="inlineStr">
        <is>
          <t>14 장 (도면목록·범례 + 평면도12)</t>
        </is>
      </c>
    </row>
    <row r="17" ht="15" customHeight="1" s="78">
      <c r="A17" s="99" t="inlineStr">
        <is>
          <t xml:space="preserve">  공통/표지</t>
        </is>
      </c>
      <c r="B17" s="100" t="inlineStr">
        <is>
          <t>3 장 (p1, p16, p26)</t>
        </is>
      </c>
    </row>
    <row r="18" ht="15" customHeight="1" s="78">
      <c r="A18" s="100" t="n"/>
      <c r="B18" s="100" t="n"/>
    </row>
    <row r="19" ht="15" customHeight="1" s="78">
      <c r="A19" s="99" t="inlineStr">
        <is>
          <t>규모 분류 (STEP 2)</t>
        </is>
      </c>
      <c r="B19" s="99" t="inlineStr">
        <is>
          <t>중규모(M) — 면적 400㎡, 여유율 1.10 적용 예정</t>
        </is>
      </c>
    </row>
    <row r="20" ht="15" customHeight="1" s="78">
      <c r="A20" s="99" t="inlineStr">
        <is>
          <t>산출 모드</t>
        </is>
      </c>
      <c r="B20" s="99" t="inlineStr">
        <is>
          <t>정밀 산출 (8 STEP 풀)</t>
        </is>
      </c>
    </row>
    <row r="21" ht="15" customHeight="1" s="78">
      <c r="A21" s="99" t="inlineStr">
        <is>
          <t>산출 범위</t>
        </is>
      </c>
      <c r="B21" s="99" t="inlineStr">
        <is>
          <t>전력 + 통신 + CCTV + 소방 (소방은 주요자재 개략)</t>
        </is>
      </c>
    </row>
    <row r="22" ht="15" customHeight="1" s="78">
      <c r="A22" s="99" t="inlineStr">
        <is>
          <t>합산 모드</t>
        </is>
      </c>
      <c r="B22" s="99" t="inlineStr">
        <is>
          <t>예 (merge_key = 파이브가이즈_7호점)</t>
        </is>
      </c>
    </row>
    <row r="23" ht="15" customHeight="1" s="78">
      <c r="A23" s="99" t="inlineStr">
        <is>
          <t>이력 베이스라인</t>
        </is>
      </c>
      <c r="B23" s="99" t="inlineStr">
        <is>
          <t>산출물/FIVEGUYS_더갤러리아7호점_물량산출_20260406.xlsx (the Galleria 입점 100% 매칭 확정)</t>
        </is>
      </c>
    </row>
    <row r="24" ht="15" customHeight="1" s="78">
      <c r="A24" s="100" t="n"/>
      <c r="B24" s="100" t="n"/>
    </row>
    <row r="25" ht="15" customHeight="1" s="78">
      <c r="A25" s="99" t="inlineStr">
        <is>
          <t>미확인 페이지</t>
        </is>
      </c>
      <c r="B25" s="100" t="inlineStr">
        <is>
          <t>p1·p16·p26 — 공종별 표지(확정)</t>
        </is>
      </c>
    </row>
    <row r="26" ht="15" customHeight="1" s="78">
      <c r="A26" s="99" t="inlineStr">
        <is>
          <t>다음 단계</t>
        </is>
      </c>
      <c r="B26" s="100" t="inlineStr">
        <is>
          <t>STEP 3 진입 전 미확인 페이지 확인 + 단가 베이스라인 비교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77" min="1" max="2"/>
    <col width="6" customWidth="1" style="77" min="3" max="5"/>
    <col width="9" customWidth="1" style="77" min="6" max="6"/>
    <col width="38" customWidth="1" style="77" min="7" max="7"/>
    <col width="11" customWidth="1" style="77" min="8" max="8"/>
    <col width="17" customWidth="1" style="77" min="9" max="9"/>
    <col width="10" customWidth="1" style="77" min="10" max="10"/>
    <col width="8" customWidth="1" style="77" min="11" max="11"/>
    <col width="26" customWidth="1" style="77" min="12" max="12"/>
  </cols>
  <sheetData>
    <row r="1" ht="24" customHeight="1" s="78">
      <c r="A1" s="80" t="inlineStr">
        <is>
          <t>분전반</t>
        </is>
      </c>
      <c r="B1" s="80" t="inlineStr">
        <is>
          <t>회로ID</t>
        </is>
      </c>
      <c r="C1" s="79" t="inlineStr">
        <is>
          <t>POLE</t>
        </is>
      </c>
      <c r="D1" s="79" t="inlineStr">
        <is>
          <t>AF</t>
        </is>
      </c>
      <c r="E1" s="79" t="inlineStr">
        <is>
          <t>AT</t>
        </is>
      </c>
      <c r="F1" s="80" t="inlineStr">
        <is>
          <t>차단기</t>
        </is>
      </c>
      <c r="G1" s="80" t="inlineStr">
        <is>
          <t>부하명</t>
        </is>
      </c>
      <c r="H1" s="80" t="inlineStr">
        <is>
          <t>부하분류</t>
        </is>
      </c>
      <c r="I1" s="80" t="inlineStr">
        <is>
          <t>추정 전선규격</t>
        </is>
      </c>
      <c r="J1" s="80" t="inlineStr">
        <is>
          <t>추정 배관</t>
        </is>
      </c>
      <c r="K1" s="80" t="inlineStr">
        <is>
          <t>신뢰도</t>
        </is>
      </c>
      <c r="L1" s="80" t="inlineStr">
        <is>
          <t>비고</t>
        </is>
      </c>
    </row>
    <row r="2" ht="15" customHeight="1" s="78">
      <c r="A2" s="77" t="inlineStr">
        <is>
          <t>LP-1M</t>
        </is>
      </c>
      <c r="B2" s="77" t="inlineStr">
        <is>
          <t>MAIN</t>
        </is>
      </c>
      <c r="C2" s="77" t="n">
        <v>4</v>
      </c>
      <c r="D2" s="77" t="n">
        <v>250</v>
      </c>
      <c r="E2" s="77" t="n">
        <v>250</v>
      </c>
      <c r="F2" s="77" t="inlineStr">
        <is>
          <t>MCCB</t>
        </is>
      </c>
      <c r="G2" s="77" t="inlineStr">
        <is>
          <t>MAIN</t>
        </is>
      </c>
      <c r="H2" s="101" t="inlineStr">
        <is>
          <t>간선</t>
        </is>
      </c>
      <c r="I2" s="77" t="inlineStr">
        <is>
          <t>F-CV 4C × 1</t>
        </is>
      </c>
      <c r="J2" s="77" t="inlineStr">
        <is>
          <t>ST 36C</t>
        </is>
      </c>
      <c r="K2" s="77" t="inlineStr">
        <is>
          <t>●</t>
        </is>
      </c>
      <c r="L2" s="77" t="inlineStr">
        <is>
          <t>1F 주 분전반 메인</t>
        </is>
      </c>
    </row>
    <row r="3" ht="15" customHeight="1" s="78">
      <c r="A3" s="77" t="inlineStr">
        <is>
          <t>LP-1M</t>
        </is>
      </c>
      <c r="B3" s="77" t="inlineStr">
        <is>
          <t>PNL</t>
        </is>
      </c>
      <c r="C3" s="77" t="n">
        <v>4</v>
      </c>
      <c r="D3" s="77" t="n">
        <v>50</v>
      </c>
      <c r="E3" s="77" t="n">
        <v>30</v>
      </c>
      <c r="F3" s="77" t="inlineStr">
        <is>
          <t>MCCB</t>
        </is>
      </c>
      <c r="G3" s="77" t="inlineStr">
        <is>
          <t>LP-E PANEL (분기)</t>
        </is>
      </c>
      <c r="H3" s="101" t="inlineStr">
        <is>
          <t>간선분기</t>
        </is>
      </c>
      <c r="I3" s="77" t="inlineStr">
        <is>
          <t>F-CV 4C</t>
        </is>
      </c>
      <c r="J3" s="77" t="inlineStr">
        <is>
          <t>ST 28C</t>
        </is>
      </c>
      <c r="K3" s="77" t="inlineStr">
        <is>
          <t>●</t>
        </is>
      </c>
      <c r="L3" s="77" t="inlineStr">
        <is>
          <t>LP-E 서브분전반 공급</t>
        </is>
      </c>
    </row>
    <row r="4" ht="15" customHeight="1" s="78">
      <c r="A4" s="77" t="inlineStr">
        <is>
          <t>LP-1M</t>
        </is>
      </c>
      <c r="B4" s="77" t="inlineStr">
        <is>
          <t>OAC-1</t>
        </is>
      </c>
      <c r="C4" s="77" t="n">
        <v>4</v>
      </c>
      <c r="D4" s="77" t="n">
        <v>50</v>
      </c>
      <c r="E4" s="77" t="n">
        <v>50</v>
      </c>
      <c r="F4" s="77" t="inlineStr">
        <is>
          <t>ELCB</t>
        </is>
      </c>
      <c r="G4" s="101" t="inlineStr">
        <is>
          <t>실외기1</t>
        </is>
      </c>
      <c r="H4" s="101" t="inlineStr">
        <is>
          <t>동력</t>
        </is>
      </c>
      <c r="I4" s="77" t="inlineStr">
        <is>
          <t>HFIX 6㎟ 4C</t>
        </is>
      </c>
      <c r="J4" s="77" t="inlineStr">
        <is>
          <t>ST 22C</t>
        </is>
      </c>
      <c r="K4" s="77" t="inlineStr">
        <is>
          <t>●</t>
        </is>
      </c>
      <c r="L4" s="101" t="inlineStr">
        <is>
          <t>에어컨 실외기</t>
        </is>
      </c>
    </row>
    <row r="5" ht="15" customHeight="1" s="78">
      <c r="A5" s="77" t="inlineStr">
        <is>
          <t>LP-1M</t>
        </is>
      </c>
      <c r="B5" s="77" t="inlineStr">
        <is>
          <t>SP</t>
        </is>
      </c>
      <c r="C5" s="77" t="n">
        <v>4</v>
      </c>
      <c r="D5" s="77" t="n">
        <v>50</v>
      </c>
      <c r="E5" s="77" t="n">
        <v>50</v>
      </c>
      <c r="F5" s="77" t="inlineStr">
        <is>
          <t>ELCB</t>
        </is>
      </c>
      <c r="G5" s="77" t="inlineStr">
        <is>
          <t>SPARE</t>
        </is>
      </c>
      <c r="H5" s="101" t="inlineStr">
        <is>
          <t>예비</t>
        </is>
      </c>
      <c r="I5" s="77" t="inlineStr">
        <is>
          <t>-</t>
        </is>
      </c>
      <c r="J5" s="77" t="inlineStr">
        <is>
          <t>-</t>
        </is>
      </c>
      <c r="K5" s="77" t="inlineStr">
        <is>
          <t>●</t>
        </is>
      </c>
      <c r="L5" s="101" t="inlineStr">
        <is>
          <t>예비</t>
        </is>
      </c>
    </row>
    <row r="6" ht="15" customHeight="1" s="78">
      <c r="A6" s="77" t="inlineStr">
        <is>
          <t>LP-1M</t>
        </is>
      </c>
      <c r="B6" s="77" t="inlineStr">
        <is>
          <t>EF-2</t>
        </is>
      </c>
      <c r="C6" s="77" t="n">
        <v>4</v>
      </c>
      <c r="D6" s="77" t="n">
        <v>50</v>
      </c>
      <c r="E6" s="77" t="n">
        <v>50</v>
      </c>
      <c r="F6" s="77" t="inlineStr">
        <is>
          <t>ELCB</t>
        </is>
      </c>
      <c r="G6" s="101" t="inlineStr">
        <is>
          <t>배기휀 7.5kW (인버터)</t>
        </is>
      </c>
      <c r="H6" s="101" t="inlineStr">
        <is>
          <t>동력</t>
        </is>
      </c>
      <c r="I6" s="77" t="inlineStr">
        <is>
          <t>HFIX 6㎟ 4C</t>
        </is>
      </c>
      <c r="J6" s="77" t="inlineStr">
        <is>
          <t>ST 22C</t>
        </is>
      </c>
      <c r="K6" s="77" t="inlineStr">
        <is>
          <t>●</t>
        </is>
      </c>
      <c r="L6" s="101" t="inlineStr">
        <is>
          <t>주방 배기</t>
        </is>
      </c>
    </row>
    <row r="7" ht="15" customHeight="1" s="78">
      <c r="A7" s="77" t="inlineStr">
        <is>
          <t>LP-1M</t>
        </is>
      </c>
      <c r="B7" s="77" t="inlineStr">
        <is>
          <t>CDU-1</t>
        </is>
      </c>
      <c r="C7" s="77" t="n">
        <v>4</v>
      </c>
      <c r="D7" s="77" t="n">
        <v>50</v>
      </c>
      <c r="E7" s="77" t="n">
        <v>20</v>
      </c>
      <c r="F7" s="77" t="inlineStr">
        <is>
          <t>ELCB</t>
        </is>
      </c>
      <c r="G7" s="77" t="inlineStr">
        <is>
          <t>CONDENSING UNIT-FOOD REFRIGERATION</t>
        </is>
      </c>
      <c r="H7" s="101" t="inlineStr">
        <is>
          <t>동력</t>
        </is>
      </c>
      <c r="I7" s="77" t="inlineStr">
        <is>
          <t>HFIX 4㎟ 4C</t>
        </is>
      </c>
      <c r="J7" s="77" t="inlineStr">
        <is>
          <t>ST 22C</t>
        </is>
      </c>
      <c r="K7" s="77" t="inlineStr">
        <is>
          <t>●</t>
        </is>
      </c>
      <c r="L7" s="101" t="inlineStr">
        <is>
          <t>식품냉장 응축기</t>
        </is>
      </c>
    </row>
    <row r="8" ht="15" customHeight="1" s="78">
      <c r="A8" s="77" t="inlineStr">
        <is>
          <t>LP-1M</t>
        </is>
      </c>
      <c r="B8" s="77" t="inlineStr">
        <is>
          <t>K17</t>
        </is>
      </c>
      <c r="C8" s="77" t="n">
        <v>4</v>
      </c>
      <c r="D8" s="77" t="n">
        <v>50</v>
      </c>
      <c r="E8" s="77" t="n">
        <v>40</v>
      </c>
      <c r="F8" s="77" t="inlineStr">
        <is>
          <t>ELCB</t>
        </is>
      </c>
      <c r="G8" s="77" t="inlineStr">
        <is>
          <t>DISH WASHER</t>
        </is>
      </c>
      <c r="H8" s="101" t="inlineStr">
        <is>
          <t>동력</t>
        </is>
      </c>
      <c r="I8" s="77" t="inlineStr">
        <is>
          <t>HFIX 6㎟ 4C</t>
        </is>
      </c>
      <c r="J8" s="77" t="inlineStr">
        <is>
          <t>ST 22C</t>
        </is>
      </c>
      <c r="K8" s="77" t="inlineStr">
        <is>
          <t>●</t>
        </is>
      </c>
      <c r="L8" s="101" t="inlineStr">
        <is>
          <t>식기세척기</t>
        </is>
      </c>
    </row>
    <row r="9" ht="15" customHeight="1" s="78">
      <c r="A9" s="77" t="inlineStr">
        <is>
          <t>LP-1M</t>
        </is>
      </c>
      <c r="B9" s="77" t="inlineStr">
        <is>
          <t>A1</t>
        </is>
      </c>
      <c r="C9" s="77" t="n">
        <v>2</v>
      </c>
      <c r="D9" s="77" t="n">
        <v>30</v>
      </c>
      <c r="E9" s="77" t="n">
        <v>20</v>
      </c>
      <c r="F9" s="77" t="inlineStr">
        <is>
          <t>ELB</t>
        </is>
      </c>
      <c r="G9" s="101" t="inlineStr">
        <is>
          <t>실외기전원</t>
        </is>
      </c>
      <c r="H9" s="101" t="inlineStr">
        <is>
          <t>동력</t>
        </is>
      </c>
      <c r="I9" s="77" t="inlineStr">
        <is>
          <t>HFIX 4㎟ 3C</t>
        </is>
      </c>
      <c r="J9" s="77" t="inlineStr">
        <is>
          <t>ST 22C</t>
        </is>
      </c>
      <c r="K9" s="77" t="inlineStr">
        <is>
          <t>●</t>
        </is>
      </c>
    </row>
    <row r="10" ht="15" customHeight="1" s="78">
      <c r="A10" s="77" t="inlineStr">
        <is>
          <t>LP-1M</t>
        </is>
      </c>
      <c r="B10" s="77" t="inlineStr">
        <is>
          <t>K1</t>
        </is>
      </c>
      <c r="C10" s="77" t="n">
        <v>2</v>
      </c>
      <c r="D10" s="77" t="n">
        <v>30</v>
      </c>
      <c r="E10" s="77" t="n">
        <v>20</v>
      </c>
      <c r="F10" s="77" t="inlineStr">
        <is>
          <t>ELB</t>
        </is>
      </c>
      <c r="G10" s="77" t="inlineStr">
        <is>
          <t>TEMP COOLER</t>
        </is>
      </c>
      <c r="H10" s="101" t="inlineStr">
        <is>
          <t>주방기기</t>
        </is>
      </c>
      <c r="I10" s="77" t="inlineStr">
        <is>
          <t>HFIX 4㎟ 3C</t>
        </is>
      </c>
      <c r="J10" s="77" t="inlineStr">
        <is>
          <t>ST 22C</t>
        </is>
      </c>
      <c r="K10" s="77" t="inlineStr">
        <is>
          <t>●</t>
        </is>
      </c>
    </row>
    <row r="11" ht="15" customHeight="1" s="78">
      <c r="A11" s="77" t="inlineStr">
        <is>
          <t>LP-1M</t>
        </is>
      </c>
      <c r="B11" s="77" t="inlineStr">
        <is>
          <t>K3</t>
        </is>
      </c>
      <c r="C11" s="77" t="n">
        <v>2</v>
      </c>
      <c r="D11" s="77" t="n">
        <v>30</v>
      </c>
      <c r="E11" s="77" t="n">
        <v>20</v>
      </c>
      <c r="F11" s="77" t="inlineStr">
        <is>
          <t>ELB</t>
        </is>
      </c>
      <c r="G11" s="77" t="inlineStr">
        <is>
          <t>CRESCENT ICE MACHINE</t>
        </is>
      </c>
      <c r="H11" s="101" t="inlineStr">
        <is>
          <t>주방기기</t>
        </is>
      </c>
      <c r="I11" s="77" t="inlineStr">
        <is>
          <t>HFIX 4㎟ 3C</t>
        </is>
      </c>
      <c r="J11" s="77" t="inlineStr">
        <is>
          <t>ST 22C</t>
        </is>
      </c>
      <c r="K11" s="77" t="inlineStr">
        <is>
          <t>●</t>
        </is>
      </c>
    </row>
    <row r="12" ht="15" customHeight="1" s="78">
      <c r="A12" s="77" t="inlineStr">
        <is>
          <t>LP-1M</t>
        </is>
      </c>
      <c r="B12" s="77" t="inlineStr">
        <is>
          <t>K5</t>
        </is>
      </c>
      <c r="C12" s="77" t="n">
        <v>2</v>
      </c>
      <c r="D12" s="77" t="n">
        <v>30</v>
      </c>
      <c r="E12" s="77" t="n">
        <v>20</v>
      </c>
      <c r="F12" s="77" t="inlineStr">
        <is>
          <t>ELB</t>
        </is>
      </c>
      <c r="G12" s="77" t="inlineStr">
        <is>
          <t>CHEF BASE/GAS GRIDDLE × 3</t>
        </is>
      </c>
      <c r="H12" s="101" t="inlineStr">
        <is>
          <t>주방기기</t>
        </is>
      </c>
      <c r="I12" s="77" t="inlineStr">
        <is>
          <t>HFIX 4㎟ 3C</t>
        </is>
      </c>
      <c r="J12" s="77" t="inlineStr">
        <is>
          <t>ST 22C</t>
        </is>
      </c>
      <c r="K12" s="77" t="inlineStr">
        <is>
          <t>●</t>
        </is>
      </c>
      <c r="L12" s="101" t="inlineStr">
        <is>
          <t>그리들 3대</t>
        </is>
      </c>
    </row>
    <row r="13" ht="15" customHeight="1" s="78">
      <c r="A13" s="77" t="inlineStr">
        <is>
          <t>LP-1M</t>
        </is>
      </c>
      <c r="B13" s="77" t="inlineStr">
        <is>
          <t>K7</t>
        </is>
      </c>
      <c r="C13" s="77" t="n">
        <v>2</v>
      </c>
      <c r="D13" s="77" t="n">
        <v>30</v>
      </c>
      <c r="E13" s="77" t="n">
        <v>20</v>
      </c>
      <c r="F13" s="77" t="inlineStr">
        <is>
          <t>ELB</t>
        </is>
      </c>
      <c r="G13" s="101" t="inlineStr">
        <is>
          <t>중탕기</t>
        </is>
      </c>
      <c r="H13" s="101" t="inlineStr">
        <is>
          <t>주방기기</t>
        </is>
      </c>
      <c r="I13" s="77" t="inlineStr">
        <is>
          <t>HFIX 4㎟ 3C</t>
        </is>
      </c>
      <c r="J13" s="77" t="inlineStr">
        <is>
          <t>ST 22C</t>
        </is>
      </c>
      <c r="K13" s="77" t="inlineStr">
        <is>
          <t>●</t>
        </is>
      </c>
    </row>
    <row r="14" ht="15" customHeight="1" s="78">
      <c r="A14" s="77" t="inlineStr">
        <is>
          <t>LP-1M</t>
        </is>
      </c>
      <c r="B14" s="77" t="inlineStr">
        <is>
          <t>K9</t>
        </is>
      </c>
      <c r="C14" s="77" t="n">
        <v>2</v>
      </c>
      <c r="D14" s="77" t="n">
        <v>30</v>
      </c>
      <c r="E14" s="77" t="n">
        <v>20</v>
      </c>
      <c r="F14" s="77" t="inlineStr">
        <is>
          <t>ELB</t>
        </is>
      </c>
      <c r="G14" s="77" t="inlineStr">
        <is>
          <t>GRAVITY SHAKE FREEZER</t>
        </is>
      </c>
      <c r="H14" s="101" t="inlineStr">
        <is>
          <t>주방기기</t>
        </is>
      </c>
      <c r="I14" s="77" t="inlineStr">
        <is>
          <t>HFIX 4㎟ 3C</t>
        </is>
      </c>
      <c r="J14" s="77" t="inlineStr">
        <is>
          <t>ST 22C</t>
        </is>
      </c>
      <c r="K14" s="77" t="inlineStr">
        <is>
          <t>●</t>
        </is>
      </c>
    </row>
    <row r="15" ht="15" customHeight="1" s="78">
      <c r="A15" s="77" t="inlineStr">
        <is>
          <t>LP-1M</t>
        </is>
      </c>
      <c r="B15" s="77" t="inlineStr">
        <is>
          <t>K11</t>
        </is>
      </c>
      <c r="C15" s="77" t="n">
        <v>2</v>
      </c>
      <c r="D15" s="77" t="n">
        <v>30</v>
      </c>
      <c r="E15" s="77" t="n">
        <v>20</v>
      </c>
      <c r="F15" s="77" t="inlineStr">
        <is>
          <t>ELB</t>
        </is>
      </c>
      <c r="G15" s="77" t="inlineStr">
        <is>
          <t>BEER COOLER</t>
        </is>
      </c>
      <c r="H15" s="101" t="inlineStr">
        <is>
          <t>주방기기</t>
        </is>
      </c>
      <c r="I15" s="77" t="inlineStr">
        <is>
          <t>HFIX 4㎟ 3C</t>
        </is>
      </c>
      <c r="J15" s="77" t="inlineStr">
        <is>
          <t>ST 22C</t>
        </is>
      </c>
      <c r="K15" s="77" t="inlineStr">
        <is>
          <t>●</t>
        </is>
      </c>
    </row>
    <row r="16" ht="15" customHeight="1" s="78">
      <c r="A16" s="77" t="inlineStr">
        <is>
          <t>LP-1M</t>
        </is>
      </c>
      <c r="B16" s="77" t="inlineStr">
        <is>
          <t>K13</t>
        </is>
      </c>
      <c r="C16" s="77" t="n">
        <v>2</v>
      </c>
      <c r="D16" s="77" t="n">
        <v>30</v>
      </c>
      <c r="E16" s="77" t="n">
        <v>20</v>
      </c>
      <c r="F16" s="77" t="inlineStr">
        <is>
          <t>ELB</t>
        </is>
      </c>
      <c r="G16" s="77" t="inlineStr">
        <is>
          <t>ICE CUBE</t>
        </is>
      </c>
      <c r="H16" s="101" t="inlineStr">
        <is>
          <t>주방기기</t>
        </is>
      </c>
      <c r="I16" s="77" t="inlineStr">
        <is>
          <t>HFIX 4㎟ 3C</t>
        </is>
      </c>
      <c r="J16" s="77" t="inlineStr">
        <is>
          <t>ST 22C</t>
        </is>
      </c>
      <c r="K16" s="77" t="inlineStr">
        <is>
          <t>●</t>
        </is>
      </c>
    </row>
    <row r="17" ht="15" customHeight="1" s="78">
      <c r="A17" s="77" t="inlineStr">
        <is>
          <t>LP-1M</t>
        </is>
      </c>
      <c r="B17" s="77" t="inlineStr">
        <is>
          <t>K15</t>
        </is>
      </c>
      <c r="C17" s="77" t="n">
        <v>2</v>
      </c>
      <c r="D17" s="77" t="n">
        <v>30</v>
      </c>
      <c r="E17" s="77" t="n">
        <v>20</v>
      </c>
      <c r="F17" s="77" t="inlineStr">
        <is>
          <t>ELB</t>
        </is>
      </c>
      <c r="G17" s="77" t="inlineStr">
        <is>
          <t>ICE CUBE</t>
        </is>
      </c>
      <c r="H17" s="101" t="inlineStr">
        <is>
          <t>주방기기</t>
        </is>
      </c>
      <c r="I17" s="77" t="inlineStr">
        <is>
          <t>HFIX 4㎟ 3C</t>
        </is>
      </c>
      <c r="J17" s="77" t="inlineStr">
        <is>
          <t>ST 22C</t>
        </is>
      </c>
      <c r="K17" s="77" t="inlineStr">
        <is>
          <t>●</t>
        </is>
      </c>
    </row>
    <row r="18" ht="15" customHeight="1" s="78">
      <c r="A18" s="77" t="inlineStr">
        <is>
          <t>LP-1M</t>
        </is>
      </c>
      <c r="B18" s="77" t="inlineStr">
        <is>
          <t>R1</t>
        </is>
      </c>
      <c r="C18" s="77" t="n">
        <v>2</v>
      </c>
      <c r="D18" s="77" t="n">
        <v>30</v>
      </c>
      <c r="E18" s="77" t="n">
        <v>20</v>
      </c>
      <c r="F18" s="77" t="inlineStr">
        <is>
          <t>ELB</t>
        </is>
      </c>
      <c r="G18" s="101" t="inlineStr">
        <is>
          <t>매니저룸</t>
        </is>
      </c>
      <c r="H18" s="101" t="inlineStr">
        <is>
          <t>전열</t>
        </is>
      </c>
      <c r="I18" s="77" t="inlineStr">
        <is>
          <t>HFIX 4㎟ 3C</t>
        </is>
      </c>
      <c r="J18" s="77" t="inlineStr">
        <is>
          <t>ST 22C</t>
        </is>
      </c>
      <c r="K18" s="77" t="inlineStr">
        <is>
          <t>●</t>
        </is>
      </c>
      <c r="L18" s="77" t="inlineStr">
        <is>
          <t>30mA 누전차단 필요</t>
        </is>
      </c>
    </row>
    <row r="19" ht="15" customHeight="1" s="78">
      <c r="A19" s="77" t="inlineStr">
        <is>
          <t>LP-1M</t>
        </is>
      </c>
      <c r="B19" s="77" t="inlineStr">
        <is>
          <t>R3</t>
        </is>
      </c>
      <c r="C19" s="77" t="n">
        <v>2</v>
      </c>
      <c r="D19" s="77" t="n">
        <v>30</v>
      </c>
      <c r="E19" s="77" t="n">
        <v>20</v>
      </c>
      <c r="F19" s="77" t="inlineStr">
        <is>
          <t>ELB</t>
        </is>
      </c>
      <c r="G19" s="101" t="inlineStr">
        <is>
          <t>포장등/캐쉬어</t>
        </is>
      </c>
      <c r="H19" s="101" t="inlineStr">
        <is>
          <t>전열</t>
        </is>
      </c>
      <c r="I19" s="77" t="inlineStr">
        <is>
          <t>HFIX 4㎟ 3C</t>
        </is>
      </c>
      <c r="J19" s="77" t="inlineStr">
        <is>
          <t>ST 22C</t>
        </is>
      </c>
      <c r="K19" s="77" t="inlineStr">
        <is>
          <t>●</t>
        </is>
      </c>
    </row>
    <row r="20" ht="15" customHeight="1" s="78">
      <c r="A20" s="77" t="inlineStr">
        <is>
          <t>LP-1M</t>
        </is>
      </c>
      <c r="B20" s="77" t="inlineStr">
        <is>
          <t>R5</t>
        </is>
      </c>
      <c r="C20" s="77" t="n">
        <v>2</v>
      </c>
      <c r="D20" s="77" t="n">
        <v>30</v>
      </c>
      <c r="E20" s="77" t="n">
        <v>20</v>
      </c>
      <c r="F20" s="77" t="inlineStr">
        <is>
          <t>ELB</t>
        </is>
      </c>
      <c r="G20" s="77" t="inlineStr">
        <is>
          <t>POS</t>
        </is>
      </c>
      <c r="H20" s="101" t="inlineStr">
        <is>
          <t>전열</t>
        </is>
      </c>
      <c r="I20" s="77" t="inlineStr">
        <is>
          <t>HFIX 4㎟ 3C</t>
        </is>
      </c>
      <c r="J20" s="77" t="inlineStr">
        <is>
          <t>ST 22C</t>
        </is>
      </c>
      <c r="K20" s="77" t="inlineStr">
        <is>
          <t>●</t>
        </is>
      </c>
    </row>
    <row r="21" ht="15" customHeight="1" s="78">
      <c r="A21" s="77" t="inlineStr">
        <is>
          <t>LP-1M</t>
        </is>
      </c>
      <c r="B21" s="77" t="inlineStr">
        <is>
          <t>R7</t>
        </is>
      </c>
      <c r="C21" s="77" t="n">
        <v>2</v>
      </c>
      <c r="D21" s="77" t="n">
        <v>30</v>
      </c>
      <c r="E21" s="77" t="n">
        <v>20</v>
      </c>
      <c r="F21" s="77" t="inlineStr">
        <is>
          <t>ELB</t>
        </is>
      </c>
      <c r="G21" s="101" t="inlineStr">
        <is>
          <t>키오스크</t>
        </is>
      </c>
      <c r="H21" s="101" t="inlineStr">
        <is>
          <t>전열</t>
        </is>
      </c>
      <c r="I21" s="77" t="inlineStr">
        <is>
          <t>HFIX 4㎟ 3C</t>
        </is>
      </c>
      <c r="J21" s="77" t="inlineStr">
        <is>
          <t>ST 22C</t>
        </is>
      </c>
      <c r="K21" s="77" t="inlineStr">
        <is>
          <t>●</t>
        </is>
      </c>
    </row>
    <row r="22" ht="15" customHeight="1" s="78">
      <c r="A22" s="77" t="inlineStr">
        <is>
          <t>LP-1M</t>
        </is>
      </c>
      <c r="B22" s="77" t="inlineStr">
        <is>
          <t>L1</t>
        </is>
      </c>
      <c r="C22" s="77" t="n">
        <v>2</v>
      </c>
      <c r="D22" s="77" t="n">
        <v>30</v>
      </c>
      <c r="E22" s="77" t="n">
        <v>20</v>
      </c>
      <c r="F22" s="77" t="inlineStr">
        <is>
          <t>ELB</t>
        </is>
      </c>
      <c r="G22" s="77" t="inlineStr">
        <is>
          <t>LIGHTING</t>
        </is>
      </c>
      <c r="H22" s="101" t="inlineStr">
        <is>
          <t>조명</t>
        </is>
      </c>
      <c r="I22" s="77" t="inlineStr">
        <is>
          <t>HFIX 2.5㎟ 3C</t>
        </is>
      </c>
      <c r="J22" s="77" t="inlineStr">
        <is>
          <t>ST 16C</t>
        </is>
      </c>
      <c r="K22" s="77" t="inlineStr">
        <is>
          <t>●</t>
        </is>
      </c>
      <c r="L22" s="101" t="inlineStr">
        <is>
          <t>천정 조명</t>
        </is>
      </c>
    </row>
    <row r="23" ht="15" customHeight="1" s="78">
      <c r="A23" s="77" t="inlineStr">
        <is>
          <t>LP-1M</t>
        </is>
      </c>
      <c r="B23" s="77" t="inlineStr">
        <is>
          <t>G1</t>
        </is>
      </c>
      <c r="C23" s="77" t="n">
        <v>2</v>
      </c>
      <c r="D23" s="77" t="n">
        <v>30</v>
      </c>
      <c r="E23" s="77" t="n">
        <v>20</v>
      </c>
      <c r="F23" s="77" t="inlineStr">
        <is>
          <t>ELB</t>
        </is>
      </c>
      <c r="G23" s="77" t="inlineStr">
        <is>
          <t>OIL MANAGE SYSTEM</t>
        </is>
      </c>
      <c r="H23" s="101" t="inlineStr">
        <is>
          <t>기타</t>
        </is>
      </c>
      <c r="I23" s="77" t="inlineStr">
        <is>
          <t>HFIX 2.5㎟ 3C</t>
        </is>
      </c>
      <c r="J23" s="77" t="inlineStr">
        <is>
          <t>ST 16C</t>
        </is>
      </c>
      <c r="K23" s="77" t="inlineStr">
        <is>
          <t>●</t>
        </is>
      </c>
      <c r="L23" s="101" t="inlineStr">
        <is>
          <t>기름관리 시스템</t>
        </is>
      </c>
    </row>
    <row r="24" ht="15" customHeight="1" s="78">
      <c r="A24" s="77" t="inlineStr">
        <is>
          <t>LP-1M</t>
        </is>
      </c>
      <c r="B24" s="77" t="inlineStr">
        <is>
          <t>ERV1</t>
        </is>
      </c>
      <c r="C24" s="77" t="n">
        <v>2</v>
      </c>
      <c r="D24" s="77" t="n">
        <v>30</v>
      </c>
      <c r="E24" s="77" t="n">
        <v>20</v>
      </c>
      <c r="F24" s="77" t="inlineStr">
        <is>
          <t>ELB</t>
        </is>
      </c>
      <c r="G24" s="101" t="inlineStr">
        <is>
          <t>전열교환기</t>
        </is>
      </c>
      <c r="H24" s="101" t="inlineStr">
        <is>
          <t>공조</t>
        </is>
      </c>
      <c r="I24" s="77" t="inlineStr">
        <is>
          <t>HFIX 2.5㎟ 3C</t>
        </is>
      </c>
      <c r="J24" s="77" t="inlineStr">
        <is>
          <t>ST 16C</t>
        </is>
      </c>
      <c r="K24" s="77" t="inlineStr">
        <is>
          <t>●</t>
        </is>
      </c>
    </row>
    <row r="25" ht="15" customHeight="1" s="78">
      <c r="A25" s="77" t="inlineStr">
        <is>
          <t>LP-1M</t>
        </is>
      </c>
      <c r="B25" s="77" t="inlineStr">
        <is>
          <t>S1</t>
        </is>
      </c>
      <c r="C25" s="77" t="n">
        <v>2</v>
      </c>
      <c r="D25" s="77" t="n">
        <v>30</v>
      </c>
      <c r="E25" s="77" t="n">
        <v>20</v>
      </c>
      <c r="F25" s="77" t="inlineStr">
        <is>
          <t>ELB</t>
        </is>
      </c>
      <c r="G25" s="77" t="inlineStr">
        <is>
          <t>SIGN</t>
        </is>
      </c>
      <c r="H25" s="101" t="inlineStr">
        <is>
          <t>사인</t>
        </is>
      </c>
      <c r="I25" s="77" t="inlineStr">
        <is>
          <t>HFIX 2.5㎟ 3C</t>
        </is>
      </c>
      <c r="J25" s="77" t="inlineStr">
        <is>
          <t>ST 16C</t>
        </is>
      </c>
      <c r="K25" s="77" t="inlineStr">
        <is>
          <t>●</t>
        </is>
      </c>
      <c r="L25" s="101" t="inlineStr">
        <is>
          <t>간판</t>
        </is>
      </c>
    </row>
    <row r="26" ht="15" customHeight="1" s="78">
      <c r="A26" s="77" t="inlineStr">
        <is>
          <t>LP-1M</t>
        </is>
      </c>
      <c r="B26" s="77" t="inlineStr">
        <is>
          <t>S3</t>
        </is>
      </c>
      <c r="C26" s="77" t="n">
        <v>2</v>
      </c>
      <c r="D26" s="77" t="n">
        <v>30</v>
      </c>
      <c r="E26" s="77" t="n">
        <v>20</v>
      </c>
      <c r="F26" s="77" t="inlineStr">
        <is>
          <t>ELB</t>
        </is>
      </c>
      <c r="G26" s="77" t="inlineStr">
        <is>
          <t>SIGN</t>
        </is>
      </c>
      <c r="H26" s="101" t="inlineStr">
        <is>
          <t>사인</t>
        </is>
      </c>
      <c r="I26" s="77" t="inlineStr">
        <is>
          <t>HFIX 2.5㎟ 3C</t>
        </is>
      </c>
      <c r="J26" s="77" t="inlineStr">
        <is>
          <t>ST 16C</t>
        </is>
      </c>
      <c r="K26" s="77" t="inlineStr">
        <is>
          <t>●</t>
        </is>
      </c>
      <c r="L26" s="101" t="inlineStr">
        <is>
          <t>간판</t>
        </is>
      </c>
    </row>
    <row r="27" ht="15" customHeight="1" s="78">
      <c r="A27" s="77" t="inlineStr">
        <is>
          <t>LP-1M</t>
        </is>
      </c>
      <c r="B27" s="77" t="inlineStr">
        <is>
          <t>SP</t>
        </is>
      </c>
      <c r="C27" s="77" t="n">
        <v>2</v>
      </c>
      <c r="D27" s="77" t="n">
        <v>30</v>
      </c>
      <c r="E27" s="77" t="n">
        <v>20</v>
      </c>
      <c r="F27" s="77" t="inlineStr">
        <is>
          <t>ELB</t>
        </is>
      </c>
      <c r="G27" s="77" t="inlineStr">
        <is>
          <t>SPARE</t>
        </is>
      </c>
      <c r="H27" s="101" t="inlineStr">
        <is>
          <t>예비</t>
        </is>
      </c>
      <c r="I27" s="77" t="inlineStr">
        <is>
          <t>-</t>
        </is>
      </c>
      <c r="J27" s="77" t="inlineStr">
        <is>
          <t>-</t>
        </is>
      </c>
      <c r="K27" s="77" t="inlineStr">
        <is>
          <t>●</t>
        </is>
      </c>
    </row>
    <row r="28" ht="15" customHeight="1" s="78">
      <c r="A28" s="77" t="inlineStr">
        <is>
          <t>LP-1M</t>
        </is>
      </c>
      <c r="B28" s="77" t="inlineStr">
        <is>
          <t>SP</t>
        </is>
      </c>
      <c r="C28" s="77" t="n">
        <v>2</v>
      </c>
      <c r="D28" s="77" t="n">
        <v>30</v>
      </c>
      <c r="E28" s="77" t="n">
        <v>20</v>
      </c>
      <c r="F28" s="77" t="inlineStr">
        <is>
          <t>ELB</t>
        </is>
      </c>
      <c r="G28" s="77" t="inlineStr">
        <is>
          <t>SPARE</t>
        </is>
      </c>
      <c r="H28" s="101" t="inlineStr">
        <is>
          <t>예비</t>
        </is>
      </c>
      <c r="I28" s="77" t="inlineStr">
        <is>
          <t>-</t>
        </is>
      </c>
      <c r="J28" s="77" t="inlineStr">
        <is>
          <t>-</t>
        </is>
      </c>
      <c r="K28" s="77" t="inlineStr">
        <is>
          <t>●</t>
        </is>
      </c>
    </row>
    <row r="29" ht="15" customHeight="1" s="78">
      <c r="A29" s="77" t="inlineStr">
        <is>
          <t>LP-1M</t>
        </is>
      </c>
      <c r="B29" s="77" t="inlineStr">
        <is>
          <t>EF-1</t>
        </is>
      </c>
      <c r="C29" s="77" t="n">
        <v>4</v>
      </c>
      <c r="D29" s="77" t="n">
        <v>50</v>
      </c>
      <c r="E29" s="77" t="n">
        <v>30</v>
      </c>
      <c r="F29" s="77" t="inlineStr">
        <is>
          <t>ELCB</t>
        </is>
      </c>
      <c r="G29" s="101" t="inlineStr">
        <is>
          <t>배기휀 1</t>
        </is>
      </c>
      <c r="H29" s="101" t="inlineStr">
        <is>
          <t>동력</t>
        </is>
      </c>
      <c r="I29" s="77" t="inlineStr">
        <is>
          <t>F-CV 4㎟ 4C</t>
        </is>
      </c>
      <c r="J29" s="77" t="inlineStr">
        <is>
          <t>ST 22C</t>
        </is>
      </c>
      <c r="K29" s="77" t="inlineStr">
        <is>
          <t>●</t>
        </is>
      </c>
      <c r="L29" s="77" t="inlineStr">
        <is>
          <t>3Φ 380V (E-003 우측열)</t>
        </is>
      </c>
    </row>
    <row r="30" ht="15" customHeight="1" s="78">
      <c r="A30" s="77" t="inlineStr">
        <is>
          <t>LP-1M</t>
        </is>
      </c>
      <c r="B30" s="77" t="inlineStr">
        <is>
          <t>OAC-2</t>
        </is>
      </c>
      <c r="C30" s="77" t="n">
        <v>4</v>
      </c>
      <c r="D30" s="77" t="n">
        <v>50</v>
      </c>
      <c r="E30" s="77" t="n">
        <v>50</v>
      </c>
      <c r="F30" s="77" t="inlineStr">
        <is>
          <t>ELCB</t>
        </is>
      </c>
      <c r="G30" s="101" t="inlineStr">
        <is>
          <t>실외기2</t>
        </is>
      </c>
      <c r="H30" s="101" t="inlineStr">
        <is>
          <t>동력</t>
        </is>
      </c>
      <c r="I30" s="77" t="inlineStr">
        <is>
          <t>HFIX 6㎟ 4C</t>
        </is>
      </c>
      <c r="J30" s="77" t="inlineStr">
        <is>
          <t>ST 22C</t>
        </is>
      </c>
      <c r="K30" s="77" t="inlineStr">
        <is>
          <t>●</t>
        </is>
      </c>
      <c r="L30" s="77" t="inlineStr">
        <is>
          <t>3Φ 380V</t>
        </is>
      </c>
    </row>
    <row r="31" ht="15" customHeight="1" s="78">
      <c r="A31" s="77" t="inlineStr">
        <is>
          <t>LP-1M</t>
        </is>
      </c>
      <c r="B31" s="77" t="inlineStr">
        <is>
          <t>OAC-4</t>
        </is>
      </c>
      <c r="C31" s="77" t="n">
        <v>4</v>
      </c>
      <c r="D31" s="77" t="n">
        <v>50</v>
      </c>
      <c r="E31" s="77" t="n">
        <v>50</v>
      </c>
      <c r="F31" s="77" t="inlineStr">
        <is>
          <t>ELCB</t>
        </is>
      </c>
      <c r="G31" s="101" t="inlineStr">
        <is>
          <t>실외기4</t>
        </is>
      </c>
      <c r="H31" s="101" t="inlineStr">
        <is>
          <t>동력</t>
        </is>
      </c>
      <c r="I31" s="77" t="inlineStr">
        <is>
          <t>HFIX 6㎟ 4C</t>
        </is>
      </c>
      <c r="J31" s="77" t="inlineStr">
        <is>
          <t>ST 22C</t>
        </is>
      </c>
      <c r="K31" s="77" t="inlineStr">
        <is>
          <t>●</t>
        </is>
      </c>
      <c r="L31" s="77" t="inlineStr">
        <is>
          <t>3Φ 380V</t>
        </is>
      </c>
    </row>
    <row r="32" ht="15" customHeight="1" s="78">
      <c r="A32" s="77" t="inlineStr">
        <is>
          <t>LP-1M</t>
        </is>
      </c>
      <c r="B32" s="77" t="inlineStr">
        <is>
          <t>SP</t>
        </is>
      </c>
      <c r="C32" s="77" t="n">
        <v>4</v>
      </c>
      <c r="D32" s="77" t="n">
        <v>50</v>
      </c>
      <c r="E32" s="77" t="n">
        <v>30</v>
      </c>
      <c r="F32" s="77" t="inlineStr">
        <is>
          <t>ELCB</t>
        </is>
      </c>
      <c r="G32" s="77" t="inlineStr">
        <is>
          <t>SPARE</t>
        </is>
      </c>
      <c r="H32" s="101" t="inlineStr">
        <is>
          <t>예비</t>
        </is>
      </c>
      <c r="I32" s="77" t="inlineStr">
        <is>
          <t>-</t>
        </is>
      </c>
      <c r="J32" s="77" t="inlineStr">
        <is>
          <t>-</t>
        </is>
      </c>
      <c r="K32" s="77" t="inlineStr">
        <is>
          <t>●</t>
        </is>
      </c>
      <c r="L32" s="77" t="inlineStr">
        <is>
          <t>3상 예비</t>
        </is>
      </c>
    </row>
    <row r="33" ht="15" customHeight="1" s="78">
      <c r="A33" s="77" t="inlineStr">
        <is>
          <t>LP-1M</t>
        </is>
      </c>
      <c r="B33" s="77" t="inlineStr">
        <is>
          <t>CDU-2</t>
        </is>
      </c>
      <c r="C33" s="77" t="n">
        <v>4</v>
      </c>
      <c r="D33" s="77" t="n">
        <v>50</v>
      </c>
      <c r="E33" s="77" t="n">
        <v>20</v>
      </c>
      <c r="F33" s="77" t="inlineStr">
        <is>
          <t>ELCB</t>
        </is>
      </c>
      <c r="G33" s="77" t="inlineStr">
        <is>
          <t>CONDENSING UNIT-MEAT REFRIGERATION</t>
        </is>
      </c>
      <c r="H33" s="101" t="inlineStr">
        <is>
          <t>동력</t>
        </is>
      </c>
      <c r="I33" s="77" t="inlineStr">
        <is>
          <t>HFIX 4㎟ 4C</t>
        </is>
      </c>
      <c r="J33" s="77" t="inlineStr">
        <is>
          <t>ST 22C</t>
        </is>
      </c>
      <c r="K33" s="77" t="inlineStr">
        <is>
          <t>●</t>
        </is>
      </c>
      <c r="L33" s="77" t="inlineStr">
        <is>
          <t>3Φ 380V 육류냉장</t>
        </is>
      </c>
    </row>
    <row r="34" ht="15" customHeight="1" s="78">
      <c r="A34" s="77" t="inlineStr">
        <is>
          <t>LP-1M</t>
        </is>
      </c>
      <c r="B34" s="77" t="inlineStr">
        <is>
          <t>K18</t>
        </is>
      </c>
      <c r="C34" s="77" t="n">
        <v>4</v>
      </c>
      <c r="D34" s="77" t="n">
        <v>50</v>
      </c>
      <c r="E34" s="77" t="n">
        <v>30</v>
      </c>
      <c r="F34" s="77" t="inlineStr">
        <is>
          <t>ELCB</t>
        </is>
      </c>
      <c r="G34" s="77" t="inlineStr">
        <is>
          <t>DRYER</t>
        </is>
      </c>
      <c r="H34" s="101" t="inlineStr">
        <is>
          <t>동력</t>
        </is>
      </c>
      <c r="I34" s="77" t="inlineStr">
        <is>
          <t>F-CV 4㎟ 4C</t>
        </is>
      </c>
      <c r="J34" s="77" t="inlineStr">
        <is>
          <t>ST 22C</t>
        </is>
      </c>
      <c r="K34" s="77" t="inlineStr">
        <is>
          <t>●</t>
        </is>
      </c>
      <c r="L34" s="77" t="inlineStr">
        <is>
          <t>3Φ 380V 8.5kW (E-104 EQP LIST)</t>
        </is>
      </c>
    </row>
    <row r="35" ht="15" customHeight="1" s="78">
      <c r="A35" s="77" t="inlineStr">
        <is>
          <t>LP-1M</t>
        </is>
      </c>
      <c r="B35" s="77" t="inlineStr">
        <is>
          <t>A2</t>
        </is>
      </c>
      <c r="C35" s="77" t="n">
        <v>2</v>
      </c>
      <c r="D35" s="77" t="n">
        <v>30</v>
      </c>
      <c r="E35" s="77" t="n">
        <v>20</v>
      </c>
      <c r="F35" s="77" t="inlineStr">
        <is>
          <t>ELB</t>
        </is>
      </c>
      <c r="G35" s="101" t="inlineStr">
        <is>
          <t>실내기전원</t>
        </is>
      </c>
      <c r="H35" s="101" t="inlineStr">
        <is>
          <t>공조</t>
        </is>
      </c>
      <c r="I35" s="77" t="inlineStr">
        <is>
          <t>HFIX 4㎟ 3C</t>
        </is>
      </c>
      <c r="J35" s="77" t="inlineStr">
        <is>
          <t>ST 22C</t>
        </is>
      </c>
      <c r="K35" s="77" t="inlineStr">
        <is>
          <t>●</t>
        </is>
      </c>
    </row>
    <row r="36" ht="15" customHeight="1" s="78">
      <c r="A36" s="77" t="inlineStr">
        <is>
          <t>LP-1M</t>
        </is>
      </c>
      <c r="B36" s="77" t="inlineStr">
        <is>
          <t>K2</t>
        </is>
      </c>
      <c r="C36" s="77" t="n">
        <v>2</v>
      </c>
      <c r="D36" s="77" t="n">
        <v>30</v>
      </c>
      <c r="E36" s="77" t="n">
        <v>20</v>
      </c>
      <c r="F36" s="77" t="inlineStr">
        <is>
          <t>ELB</t>
        </is>
      </c>
      <c r="G36" s="77" t="inlineStr">
        <is>
          <t>POTATO SINK</t>
        </is>
      </c>
      <c r="H36" s="101" t="inlineStr">
        <is>
          <t>주방기기</t>
        </is>
      </c>
      <c r="I36" s="77" t="inlineStr">
        <is>
          <t>HFIX 4㎟ 3C</t>
        </is>
      </c>
      <c r="J36" s="77" t="inlineStr">
        <is>
          <t>ST 22C</t>
        </is>
      </c>
      <c r="K36" s="77" t="inlineStr">
        <is>
          <t>●</t>
        </is>
      </c>
    </row>
    <row r="37" ht="15" customHeight="1" s="78">
      <c r="A37" s="77" t="inlineStr">
        <is>
          <t>LP-1M</t>
        </is>
      </c>
      <c r="B37" s="77" t="inlineStr">
        <is>
          <t>K4</t>
        </is>
      </c>
      <c r="C37" s="77" t="n">
        <v>2</v>
      </c>
      <c r="D37" s="77" t="n">
        <v>30</v>
      </c>
      <c r="E37" s="77" t="n">
        <v>20</v>
      </c>
      <c r="F37" s="77" t="inlineStr">
        <is>
          <t>ELB</t>
        </is>
      </c>
      <c r="G37" s="77" t="inlineStr">
        <is>
          <t>FRYER, 4BAY (GAS TYPE) × 2</t>
        </is>
      </c>
      <c r="H37" s="101" t="inlineStr">
        <is>
          <t>주방기기</t>
        </is>
      </c>
      <c r="I37" s="77" t="inlineStr">
        <is>
          <t>HFIX 4㎟ 3C</t>
        </is>
      </c>
      <c r="J37" s="77" t="inlineStr">
        <is>
          <t>ST 22C</t>
        </is>
      </c>
      <c r="K37" s="77" t="inlineStr">
        <is>
          <t>●</t>
        </is>
      </c>
      <c r="L37" s="101" t="inlineStr">
        <is>
          <t>점화/제어 전원</t>
        </is>
      </c>
    </row>
    <row r="38" ht="15" customHeight="1" s="78">
      <c r="A38" s="77" t="inlineStr">
        <is>
          <t>LP-1M</t>
        </is>
      </c>
      <c r="B38" s="77" t="inlineStr">
        <is>
          <t>K6</t>
        </is>
      </c>
      <c r="C38" s="77" t="n">
        <v>2</v>
      </c>
      <c r="D38" s="77" t="n">
        <v>30</v>
      </c>
      <c r="E38" s="77" t="n">
        <v>20</v>
      </c>
      <c r="F38" s="77" t="inlineStr">
        <is>
          <t>ELB</t>
        </is>
      </c>
      <c r="G38" s="77" t="inlineStr">
        <is>
          <t>SANDWICH WRAP TABLE/PREP TABLE</t>
        </is>
      </c>
      <c r="H38" s="101" t="inlineStr">
        <is>
          <t>주방기기</t>
        </is>
      </c>
      <c r="I38" s="77" t="inlineStr">
        <is>
          <t>HFIX 4㎟ 3C</t>
        </is>
      </c>
      <c r="J38" s="77" t="inlineStr">
        <is>
          <t>ST 22C</t>
        </is>
      </c>
      <c r="K38" s="77" t="inlineStr">
        <is>
          <t>●</t>
        </is>
      </c>
    </row>
    <row r="39" ht="15" customHeight="1" s="78">
      <c r="A39" s="77" t="inlineStr">
        <is>
          <t>LP-1M</t>
        </is>
      </c>
      <c r="B39" s="77" t="inlineStr">
        <is>
          <t>K8</t>
        </is>
      </c>
      <c r="C39" s="77" t="n">
        <v>2</v>
      </c>
      <c r="D39" s="77" t="n">
        <v>30</v>
      </c>
      <c r="E39" s="77" t="n">
        <v>20</v>
      </c>
      <c r="F39" s="77" t="inlineStr">
        <is>
          <t>ELB</t>
        </is>
      </c>
      <c r="G39" s="77" t="inlineStr">
        <is>
          <t>COOKED FRIED STATION/FRY STATION TABLE W/WARMER</t>
        </is>
      </c>
      <c r="H39" s="101" t="inlineStr">
        <is>
          <t>주방기기</t>
        </is>
      </c>
      <c r="I39" s="77" t="inlineStr">
        <is>
          <t>HFIX 4㎟ 3C</t>
        </is>
      </c>
      <c r="J39" s="77" t="inlineStr">
        <is>
          <t>ST 22C</t>
        </is>
      </c>
      <c r="K39" s="77" t="inlineStr">
        <is>
          <t>●</t>
        </is>
      </c>
    </row>
    <row r="40" ht="15" customHeight="1" s="78">
      <c r="A40" s="77" t="inlineStr">
        <is>
          <t>LP-1M</t>
        </is>
      </c>
      <c r="B40" s="77" t="inlineStr">
        <is>
          <t>K10</t>
        </is>
      </c>
      <c r="C40" s="77" t="n">
        <v>2</v>
      </c>
      <c r="D40" s="77" t="n">
        <v>30</v>
      </c>
      <c r="E40" s="77" t="n">
        <v>20</v>
      </c>
      <c r="F40" s="77" t="inlineStr">
        <is>
          <t>ELB</t>
        </is>
      </c>
      <c r="G40" s="77" t="inlineStr">
        <is>
          <t>SHAKE FOUNTAINETTE COOLER/ORDER PRINTER</t>
        </is>
      </c>
      <c r="H40" s="101" t="inlineStr">
        <is>
          <t>주방기기</t>
        </is>
      </c>
      <c r="I40" s="77" t="inlineStr">
        <is>
          <t>HFIX 4㎟ 3C</t>
        </is>
      </c>
      <c r="J40" s="77" t="inlineStr">
        <is>
          <t>ST 22C</t>
        </is>
      </c>
      <c r="K40" s="77" t="inlineStr">
        <is>
          <t>●</t>
        </is>
      </c>
    </row>
    <row r="41" ht="15" customHeight="1" s="78">
      <c r="A41" s="77" t="inlineStr">
        <is>
          <t>LP-1M</t>
        </is>
      </c>
      <c r="B41" s="77" t="inlineStr">
        <is>
          <t>K12</t>
        </is>
      </c>
      <c r="C41" s="77" t="n">
        <v>2</v>
      </c>
      <c r="D41" s="77" t="n">
        <v>30</v>
      </c>
      <c r="E41" s="77" t="n">
        <v>20</v>
      </c>
      <c r="F41" s="77" t="inlineStr">
        <is>
          <t>ELB</t>
        </is>
      </c>
      <c r="G41" s="77" t="inlineStr">
        <is>
          <t>FOUNTAIN DISPENSER</t>
        </is>
      </c>
      <c r="H41" s="101" t="inlineStr">
        <is>
          <t>주방기기</t>
        </is>
      </c>
      <c r="I41" s="77" t="inlineStr">
        <is>
          <t>HFIX 4㎟ 3C</t>
        </is>
      </c>
      <c r="J41" s="77" t="inlineStr">
        <is>
          <t>ST 22C</t>
        </is>
      </c>
      <c r="K41" s="77" t="inlineStr">
        <is>
          <t>●</t>
        </is>
      </c>
    </row>
    <row r="42" ht="15" customHeight="1" s="78">
      <c r="A42" s="77" t="inlineStr">
        <is>
          <t>LP-1M</t>
        </is>
      </c>
      <c r="B42" s="77" t="inlineStr">
        <is>
          <t>K14</t>
        </is>
      </c>
      <c r="C42" s="77" t="n">
        <v>2</v>
      </c>
      <c r="D42" s="77" t="n">
        <v>30</v>
      </c>
      <c r="E42" s="77" t="n">
        <v>20</v>
      </c>
      <c r="F42" s="77" t="inlineStr">
        <is>
          <t>ELB</t>
        </is>
      </c>
      <c r="G42" s="77" t="inlineStr">
        <is>
          <t>FOUNTAIN DISPENSER</t>
        </is>
      </c>
      <c r="H42" s="101" t="inlineStr">
        <is>
          <t>주방기기</t>
        </is>
      </c>
      <c r="I42" s="77" t="inlineStr">
        <is>
          <t>HFIX 4㎟ 3C</t>
        </is>
      </c>
      <c r="J42" s="77" t="inlineStr">
        <is>
          <t>ST 22C</t>
        </is>
      </c>
      <c r="K42" s="77" t="inlineStr">
        <is>
          <t>●</t>
        </is>
      </c>
    </row>
    <row r="43" ht="15" customHeight="1" s="78">
      <c r="A43" s="77" t="inlineStr">
        <is>
          <t>LP-1M</t>
        </is>
      </c>
      <c r="B43" s="77" t="inlineStr">
        <is>
          <t>K16</t>
        </is>
      </c>
      <c r="C43" s="77" t="n">
        <v>2</v>
      </c>
      <c r="D43" s="77" t="n">
        <v>30</v>
      </c>
      <c r="E43" s="77" t="n">
        <v>20</v>
      </c>
      <c r="F43" s="77" t="inlineStr">
        <is>
          <t>ELB</t>
        </is>
      </c>
      <c r="G43" s="77" t="inlineStr">
        <is>
          <t>Water Booster</t>
        </is>
      </c>
      <c r="H43" s="101" t="inlineStr">
        <is>
          <t>주방기기</t>
        </is>
      </c>
      <c r="I43" s="77" t="inlineStr">
        <is>
          <t>HFIX 4㎟ 3C</t>
        </is>
      </c>
      <c r="J43" s="77" t="inlineStr">
        <is>
          <t>ST 22C</t>
        </is>
      </c>
      <c r="K43" s="77" t="inlineStr">
        <is>
          <t>●</t>
        </is>
      </c>
    </row>
    <row r="44" ht="15" customHeight="1" s="78">
      <c r="A44" s="77" t="inlineStr">
        <is>
          <t>LP-1M</t>
        </is>
      </c>
      <c r="B44" s="77" t="inlineStr">
        <is>
          <t>R2</t>
        </is>
      </c>
      <c r="C44" s="77" t="n">
        <v>2</v>
      </c>
      <c r="D44" s="77" t="n">
        <v>30</v>
      </c>
      <c r="E44" s="77" t="n">
        <v>20</v>
      </c>
      <c r="F44" s="77" t="inlineStr">
        <is>
          <t>ELB</t>
        </is>
      </c>
      <c r="G44" s="101" t="inlineStr">
        <is>
          <t>매니저룸</t>
        </is>
      </c>
      <c r="H44" s="101" t="inlineStr">
        <is>
          <t>전열</t>
        </is>
      </c>
      <c r="I44" s="77" t="inlineStr">
        <is>
          <t>HFIX 4㎟ 3C</t>
        </is>
      </c>
      <c r="J44" s="77" t="inlineStr">
        <is>
          <t>ST 22C</t>
        </is>
      </c>
      <c r="K44" s="77" t="inlineStr">
        <is>
          <t>●</t>
        </is>
      </c>
    </row>
    <row r="45" ht="15" customHeight="1" s="78">
      <c r="A45" s="77" t="inlineStr">
        <is>
          <t>LP-1M</t>
        </is>
      </c>
      <c r="B45" s="77" t="inlineStr">
        <is>
          <t>R4</t>
        </is>
      </c>
      <c r="C45" s="77" t="n">
        <v>2</v>
      </c>
      <c r="D45" s="77" t="n">
        <v>30</v>
      </c>
      <c r="E45" s="77" t="n">
        <v>20</v>
      </c>
      <c r="F45" s="77" t="inlineStr">
        <is>
          <t>ELB</t>
        </is>
      </c>
      <c r="G45" s="101" t="inlineStr">
        <is>
          <t>포중등/MIC외</t>
        </is>
      </c>
      <c r="H45" s="101" t="inlineStr">
        <is>
          <t>전열</t>
        </is>
      </c>
      <c r="I45" s="77" t="inlineStr">
        <is>
          <t>HFIX 4㎟ 3C</t>
        </is>
      </c>
      <c r="J45" s="77" t="inlineStr">
        <is>
          <t>ST 22C</t>
        </is>
      </c>
      <c r="K45" s="77" t="inlineStr">
        <is>
          <t>●</t>
        </is>
      </c>
    </row>
    <row r="46" ht="15" customHeight="1" s="78">
      <c r="A46" s="77" t="inlineStr">
        <is>
          <t>LP-1M</t>
        </is>
      </c>
      <c r="B46" s="77" t="inlineStr">
        <is>
          <t>R6</t>
        </is>
      </c>
      <c r="C46" s="77" t="n">
        <v>2</v>
      </c>
      <c r="D46" s="77" t="n">
        <v>30</v>
      </c>
      <c r="E46" s="77" t="n">
        <v>20</v>
      </c>
      <c r="F46" s="77" t="inlineStr">
        <is>
          <t>ELB</t>
        </is>
      </c>
      <c r="G46" s="101" t="inlineStr">
        <is>
          <t>포중등/정수기/핸드믹서</t>
        </is>
      </c>
      <c r="H46" s="101" t="inlineStr">
        <is>
          <t>전열</t>
        </is>
      </c>
      <c r="I46" s="77" t="inlineStr">
        <is>
          <t>HFIX 4㎟ 3C</t>
        </is>
      </c>
      <c r="J46" s="77" t="inlineStr">
        <is>
          <t>ST 22C</t>
        </is>
      </c>
      <c r="K46" s="77" t="inlineStr">
        <is>
          <t>●</t>
        </is>
      </c>
    </row>
    <row r="47" ht="15" customHeight="1" s="78">
      <c r="A47" s="77" t="inlineStr">
        <is>
          <t>LP-1M</t>
        </is>
      </c>
      <c r="B47" s="77" t="inlineStr">
        <is>
          <t>SP</t>
        </is>
      </c>
      <c r="C47" s="77" t="n">
        <v>2</v>
      </c>
      <c r="D47" s="77" t="n">
        <v>30</v>
      </c>
      <c r="E47" s="77" t="n">
        <v>20</v>
      </c>
      <c r="F47" s="77" t="inlineStr">
        <is>
          <t>ELB</t>
        </is>
      </c>
      <c r="G47" s="77" t="inlineStr">
        <is>
          <t>SPARE</t>
        </is>
      </c>
      <c r="H47" s="101" t="inlineStr">
        <is>
          <t>예비</t>
        </is>
      </c>
      <c r="I47" s="77" t="inlineStr">
        <is>
          <t>-</t>
        </is>
      </c>
      <c r="J47" s="77" t="inlineStr">
        <is>
          <t>-</t>
        </is>
      </c>
      <c r="K47" s="77" t="inlineStr">
        <is>
          <t>●</t>
        </is>
      </c>
    </row>
    <row r="48" ht="15" customHeight="1" s="78">
      <c r="A48" s="77" t="inlineStr">
        <is>
          <t>LP-1M</t>
        </is>
      </c>
      <c r="B48" s="77" t="inlineStr">
        <is>
          <t>L2</t>
        </is>
      </c>
      <c r="C48" s="77" t="n">
        <v>2</v>
      </c>
      <c r="D48" s="77" t="n">
        <v>30</v>
      </c>
      <c r="E48" s="77" t="n">
        <v>20</v>
      </c>
      <c r="F48" s="77" t="inlineStr">
        <is>
          <t>ELB</t>
        </is>
      </c>
      <c r="G48" s="77" t="inlineStr">
        <is>
          <t>LIGHTING</t>
        </is>
      </c>
      <c r="H48" s="101" t="inlineStr">
        <is>
          <t>조명</t>
        </is>
      </c>
      <c r="I48" s="77" t="inlineStr">
        <is>
          <t>HFIX 2.5㎟ 3C</t>
        </is>
      </c>
      <c r="J48" s="77" t="inlineStr">
        <is>
          <t>ST 16C</t>
        </is>
      </c>
      <c r="K48" s="77" t="inlineStr">
        <is>
          <t>●</t>
        </is>
      </c>
    </row>
    <row r="49" ht="15" customHeight="1" s="78">
      <c r="A49" s="77" t="inlineStr">
        <is>
          <t>LP-1M</t>
        </is>
      </c>
      <c r="B49" s="77" t="inlineStr">
        <is>
          <t>H1</t>
        </is>
      </c>
      <c r="C49" s="77" t="n">
        <v>2</v>
      </c>
      <c r="D49" s="77" t="n">
        <v>30</v>
      </c>
      <c r="E49" s="77" t="n">
        <v>20</v>
      </c>
      <c r="F49" s="77" t="inlineStr">
        <is>
          <t>ELB</t>
        </is>
      </c>
      <c r="G49" s="77" t="inlineStr">
        <is>
          <t>HOOD/LAMP/FILTER × 5</t>
        </is>
      </c>
      <c r="H49" s="101" t="inlineStr">
        <is>
          <t>공조</t>
        </is>
      </c>
      <c r="I49" s="77" t="inlineStr">
        <is>
          <t>HFIX 2.5㎟ 3C</t>
        </is>
      </c>
      <c r="J49" s="77" t="inlineStr">
        <is>
          <t>ST 16C</t>
        </is>
      </c>
      <c r="K49" s="77" t="inlineStr">
        <is>
          <t>●</t>
        </is>
      </c>
      <c r="L49" s="101" t="inlineStr">
        <is>
          <t>후드 5조</t>
        </is>
      </c>
    </row>
    <row r="50" ht="15" customHeight="1" s="78">
      <c r="A50" s="77" t="inlineStr">
        <is>
          <t>LP-1M</t>
        </is>
      </c>
      <c r="B50" s="77" t="inlineStr">
        <is>
          <t>ERV2</t>
        </is>
      </c>
      <c r="C50" s="77" t="n">
        <v>2</v>
      </c>
      <c r="D50" s="77" t="n">
        <v>30</v>
      </c>
      <c r="E50" s="77" t="n">
        <v>20</v>
      </c>
      <c r="F50" s="77" t="inlineStr">
        <is>
          <t>ELB</t>
        </is>
      </c>
      <c r="G50" s="101" t="inlineStr">
        <is>
          <t>전열교환기2</t>
        </is>
      </c>
      <c r="H50" s="101" t="inlineStr">
        <is>
          <t>공조</t>
        </is>
      </c>
      <c r="I50" s="77" t="inlineStr">
        <is>
          <t>HFIX 2.5㎟ 3C</t>
        </is>
      </c>
      <c r="J50" s="77" t="inlineStr">
        <is>
          <t>ST 16C</t>
        </is>
      </c>
      <c r="K50" s="77" t="inlineStr">
        <is>
          <t>●</t>
        </is>
      </c>
    </row>
    <row r="51" ht="15" customHeight="1" s="78">
      <c r="A51" s="77" t="inlineStr">
        <is>
          <t>LP-1M</t>
        </is>
      </c>
      <c r="B51" s="77" t="inlineStr">
        <is>
          <t>S2</t>
        </is>
      </c>
      <c r="C51" s="77" t="n">
        <v>2</v>
      </c>
      <c r="D51" s="77" t="n">
        <v>30</v>
      </c>
      <c r="E51" s="77" t="n">
        <v>20</v>
      </c>
      <c r="F51" s="77" t="inlineStr">
        <is>
          <t>ELB</t>
        </is>
      </c>
      <c r="G51" s="77" t="inlineStr">
        <is>
          <t>SIGN</t>
        </is>
      </c>
      <c r="H51" s="101" t="inlineStr">
        <is>
          <t>사인</t>
        </is>
      </c>
      <c r="I51" s="77" t="inlineStr">
        <is>
          <t>HFIX 2.5㎟ 3C</t>
        </is>
      </c>
      <c r="J51" s="77" t="inlineStr">
        <is>
          <t>ST 16C</t>
        </is>
      </c>
      <c r="K51" s="77" t="inlineStr">
        <is>
          <t>●</t>
        </is>
      </c>
    </row>
    <row r="52" ht="15" customHeight="1" s="78">
      <c r="A52" s="77" t="inlineStr">
        <is>
          <t>LP-1M</t>
        </is>
      </c>
      <c r="B52" s="77" t="inlineStr">
        <is>
          <t>SP</t>
        </is>
      </c>
      <c r="C52" s="77" t="n">
        <v>2</v>
      </c>
      <c r="D52" s="77" t="n">
        <v>30</v>
      </c>
      <c r="E52" s="77" t="n">
        <v>20</v>
      </c>
      <c r="F52" s="77" t="inlineStr">
        <is>
          <t>ELB</t>
        </is>
      </c>
      <c r="G52" s="77" t="inlineStr">
        <is>
          <t>SPARE</t>
        </is>
      </c>
      <c r="H52" s="101" t="inlineStr">
        <is>
          <t>예비</t>
        </is>
      </c>
      <c r="I52" s="77" t="inlineStr">
        <is>
          <t>-</t>
        </is>
      </c>
      <c r="J52" s="77" t="inlineStr">
        <is>
          <t>-</t>
        </is>
      </c>
      <c r="K52" s="77" t="inlineStr">
        <is>
          <t>●</t>
        </is>
      </c>
    </row>
    <row r="53" ht="15" customHeight="1" s="78">
      <c r="A53" s="77" t="inlineStr">
        <is>
          <t>LP-1M</t>
        </is>
      </c>
      <c r="B53" s="77" t="inlineStr">
        <is>
          <t>SP</t>
        </is>
      </c>
      <c r="C53" s="77" t="n">
        <v>2</v>
      </c>
      <c r="D53" s="77" t="n">
        <v>30</v>
      </c>
      <c r="E53" s="77" t="n">
        <v>20</v>
      </c>
      <c r="F53" s="77" t="inlineStr">
        <is>
          <t>ELB</t>
        </is>
      </c>
      <c r="G53" s="77" t="inlineStr">
        <is>
          <t>SPARE</t>
        </is>
      </c>
      <c r="H53" s="101" t="inlineStr">
        <is>
          <t>예비</t>
        </is>
      </c>
      <c r="I53" s="77" t="inlineStr">
        <is>
          <t>-</t>
        </is>
      </c>
      <c r="J53" s="77" t="inlineStr">
        <is>
          <t>-</t>
        </is>
      </c>
      <c r="K53" s="77" t="inlineStr">
        <is>
          <t>●</t>
        </is>
      </c>
    </row>
    <row r="54" ht="15" customHeight="1" s="78">
      <c r="A54" s="77" t="inlineStr">
        <is>
          <t>LP-1M</t>
        </is>
      </c>
      <c r="B54" s="77" t="inlineStr">
        <is>
          <t>SP</t>
        </is>
      </c>
      <c r="C54" s="77" t="n">
        <v>2</v>
      </c>
      <c r="D54" s="77" t="n">
        <v>30</v>
      </c>
      <c r="E54" s="77" t="n">
        <v>20</v>
      </c>
      <c r="F54" s="77" t="inlineStr">
        <is>
          <t>ELB</t>
        </is>
      </c>
      <c r="G54" s="77" t="inlineStr">
        <is>
          <t>SPARE</t>
        </is>
      </c>
      <c r="H54" s="101" t="inlineStr">
        <is>
          <t>예비</t>
        </is>
      </c>
      <c r="I54" s="77" t="inlineStr">
        <is>
          <t>-</t>
        </is>
      </c>
      <c r="J54" s="77" t="inlineStr">
        <is>
          <t>-</t>
        </is>
      </c>
      <c r="K54" s="77" t="inlineStr">
        <is>
          <t>●</t>
        </is>
      </c>
    </row>
    <row r="55" ht="15" customHeight="1" s="78">
      <c r="A55" s="77" t="inlineStr">
        <is>
          <t>LP-E</t>
        </is>
      </c>
      <c r="B55" s="77" t="inlineStr">
        <is>
          <t>MAIN</t>
        </is>
      </c>
      <c r="C55" s="77" t="n">
        <v>4</v>
      </c>
      <c r="D55" s="77" t="n">
        <v>50</v>
      </c>
      <c r="E55" s="77" t="n">
        <v>30</v>
      </c>
      <c r="F55" s="77" t="inlineStr">
        <is>
          <t>MCCB</t>
        </is>
      </c>
      <c r="G55" s="77" t="inlineStr">
        <is>
          <t>MAIN (LP-1M에서 인입)</t>
        </is>
      </c>
      <c r="H55" s="101" t="inlineStr">
        <is>
          <t>간선</t>
        </is>
      </c>
      <c r="I55" s="77" t="inlineStr">
        <is>
          <t>F-CV 4C</t>
        </is>
      </c>
      <c r="J55" s="77" t="inlineStr">
        <is>
          <t>ST 28C</t>
        </is>
      </c>
      <c r="K55" s="77" t="inlineStr">
        <is>
          <t>●</t>
        </is>
      </c>
      <c r="L55" s="77" t="inlineStr">
        <is>
          <t>LP-1M 분기</t>
        </is>
      </c>
    </row>
    <row r="56" ht="15" customHeight="1" s="78">
      <c r="A56" s="77" t="inlineStr">
        <is>
          <t>LP-E</t>
        </is>
      </c>
      <c r="B56" s="77" t="inlineStr">
        <is>
          <t>A3</t>
        </is>
      </c>
      <c r="C56" s="77" t="n">
        <v>2</v>
      </c>
      <c r="D56" s="77" t="n">
        <v>30</v>
      </c>
      <c r="E56" s="77" t="n">
        <v>20</v>
      </c>
      <c r="F56" s="77" t="inlineStr">
        <is>
          <t>ELB</t>
        </is>
      </c>
      <c r="G56" s="101" t="inlineStr">
        <is>
          <t>에어커튼</t>
        </is>
      </c>
      <c r="H56" s="101" t="inlineStr">
        <is>
          <t>동력</t>
        </is>
      </c>
      <c r="I56" s="77" t="inlineStr">
        <is>
          <t>HFIX 4㎟ 3C</t>
        </is>
      </c>
      <c r="J56" s="77" t="inlineStr">
        <is>
          <t>ST 22C</t>
        </is>
      </c>
      <c r="K56" s="77" t="inlineStr">
        <is>
          <t>●</t>
        </is>
      </c>
    </row>
    <row r="57" ht="15" customHeight="1" s="78">
      <c r="A57" s="77" t="inlineStr">
        <is>
          <t>LP-E</t>
        </is>
      </c>
      <c r="B57" s="77" t="inlineStr">
        <is>
          <t>ER2</t>
        </is>
      </c>
      <c r="C57" s="77" t="n">
        <v>2</v>
      </c>
      <c r="D57" s="77" t="n">
        <v>30</v>
      </c>
      <c r="E57" s="77" t="n">
        <v>20</v>
      </c>
      <c r="F57" s="77" t="inlineStr">
        <is>
          <t>ELB</t>
        </is>
      </c>
      <c r="G57" s="101" t="inlineStr">
        <is>
          <t>매니저룸</t>
        </is>
      </c>
      <c r="H57" s="101" t="inlineStr">
        <is>
          <t>전열</t>
        </is>
      </c>
      <c r="I57" s="77" t="inlineStr">
        <is>
          <t>HFIX 4㎟ 3C</t>
        </is>
      </c>
      <c r="J57" s="77" t="inlineStr">
        <is>
          <t>ST 22C</t>
        </is>
      </c>
      <c r="K57" s="77" t="inlineStr">
        <is>
          <t>●</t>
        </is>
      </c>
    </row>
    <row r="58" ht="15" customHeight="1" s="78">
      <c r="A58" s="77" t="inlineStr">
        <is>
          <t>LP-E</t>
        </is>
      </c>
      <c r="B58" s="77" t="inlineStr">
        <is>
          <t>ER3</t>
        </is>
      </c>
      <c r="C58" s="77" t="n">
        <v>2</v>
      </c>
      <c r="D58" s="77" t="n">
        <v>30</v>
      </c>
      <c r="E58" s="77" t="n">
        <v>20</v>
      </c>
      <c r="F58" s="77" t="inlineStr">
        <is>
          <t>ELB</t>
        </is>
      </c>
      <c r="G58" s="101" t="inlineStr">
        <is>
          <t>매니저룸(단상RACK)</t>
        </is>
      </c>
      <c r="H58" s="101" t="inlineStr">
        <is>
          <t>전열</t>
        </is>
      </c>
      <c r="I58" s="77" t="inlineStr">
        <is>
          <t>HFIX 4㎟ 3C</t>
        </is>
      </c>
      <c r="J58" s="77" t="inlineStr">
        <is>
          <t>ST 22C</t>
        </is>
      </c>
      <c r="K58" s="77" t="inlineStr">
        <is>
          <t>●</t>
        </is>
      </c>
      <c r="L58" s="77" t="inlineStr">
        <is>
          <t>IT 랙</t>
        </is>
      </c>
    </row>
    <row r="59" ht="15" customHeight="1" s="78">
      <c r="A59" s="77" t="inlineStr">
        <is>
          <t>LP-E</t>
        </is>
      </c>
      <c r="B59" s="77" t="inlineStr">
        <is>
          <t>SP1</t>
        </is>
      </c>
      <c r="C59" s="77" t="n">
        <v>2</v>
      </c>
      <c r="D59" s="77" t="n">
        <v>30</v>
      </c>
      <c r="E59" s="77" t="n">
        <v>20</v>
      </c>
      <c r="F59" s="77" t="inlineStr">
        <is>
          <t>ELB</t>
        </is>
      </c>
      <c r="G59" s="101" t="inlineStr">
        <is>
          <t>간이 스프링쿨러</t>
        </is>
      </c>
      <c r="H59" s="101" t="inlineStr">
        <is>
          <t>소방</t>
        </is>
      </c>
      <c r="I59" s="77" t="inlineStr">
        <is>
          <t>HFIX 2.5㎟ 3C</t>
        </is>
      </c>
      <c r="J59" s="77" t="inlineStr">
        <is>
          <t>ST 16C</t>
        </is>
      </c>
      <c r="K59" s="77" t="inlineStr">
        <is>
          <t>●</t>
        </is>
      </c>
      <c r="L59" s="101" t="inlineStr">
        <is>
          <t>사용자 확정</t>
        </is>
      </c>
    </row>
    <row r="60" ht="15" customHeight="1" s="78">
      <c r="A60" s="77" t="inlineStr">
        <is>
          <t>LP-E</t>
        </is>
      </c>
      <c r="B60" s="77" t="inlineStr">
        <is>
          <t>ER5</t>
        </is>
      </c>
      <c r="C60" s="77" t="n">
        <v>2</v>
      </c>
      <c r="D60" s="77" t="n">
        <v>30</v>
      </c>
      <c r="E60" s="77" t="n">
        <v>20</v>
      </c>
      <c r="F60" s="77" t="inlineStr">
        <is>
          <t>ELB</t>
        </is>
      </c>
      <c r="G60" s="101" t="inlineStr">
        <is>
          <t>가스경보</t>
        </is>
      </c>
      <c r="H60" s="101" t="inlineStr">
        <is>
          <t>소방</t>
        </is>
      </c>
      <c r="I60" s="77" t="inlineStr">
        <is>
          <t>HFIX 1.5㎟</t>
        </is>
      </c>
      <c r="J60" s="77" t="inlineStr">
        <is>
          <t>ST 16C</t>
        </is>
      </c>
      <c r="K60" s="77" t="inlineStr">
        <is>
          <t>●</t>
        </is>
      </c>
    </row>
    <row r="61" ht="15" customHeight="1" s="78">
      <c r="A61" s="77" t="inlineStr">
        <is>
          <t>LP-E</t>
        </is>
      </c>
      <c r="B61" s="77" t="inlineStr">
        <is>
          <t>EX1</t>
        </is>
      </c>
      <c r="C61" s="77" t="n">
        <v>2</v>
      </c>
      <c r="D61" s="77" t="n">
        <v>30</v>
      </c>
      <c r="E61" s="77" t="n">
        <v>20</v>
      </c>
      <c r="F61" s="77" t="inlineStr">
        <is>
          <t>ELB</t>
        </is>
      </c>
      <c r="G61" s="101" t="inlineStr">
        <is>
          <t>유도등</t>
        </is>
      </c>
      <c r="H61" s="101" t="inlineStr">
        <is>
          <t>소방</t>
        </is>
      </c>
      <c r="I61" s="77" t="inlineStr">
        <is>
          <t>HFIX 2.5㎟</t>
        </is>
      </c>
      <c r="J61" s="77" t="inlineStr">
        <is>
          <t>ST 16C</t>
        </is>
      </c>
      <c r="K61" s="77" t="inlineStr">
        <is>
          <t>●</t>
        </is>
      </c>
      <c r="L61" s="101" t="inlineStr">
        <is>
          <t>비상전원</t>
        </is>
      </c>
    </row>
    <row r="62" ht="15" customHeight="1" s="78">
      <c r="A62" s="77" t="inlineStr">
        <is>
          <t>LP-E</t>
        </is>
      </c>
      <c r="B62" s="77" t="inlineStr">
        <is>
          <t>AD1</t>
        </is>
      </c>
      <c r="C62" s="77" t="n">
        <v>2</v>
      </c>
      <c r="D62" s="77" t="n">
        <v>30</v>
      </c>
      <c r="E62" s="77" t="n">
        <v>20</v>
      </c>
      <c r="F62" s="77" t="inlineStr">
        <is>
          <t>ELB</t>
        </is>
      </c>
      <c r="G62" s="101" t="inlineStr">
        <is>
          <t>자동문</t>
        </is>
      </c>
      <c r="H62" s="101" t="inlineStr">
        <is>
          <t>제어</t>
        </is>
      </c>
      <c r="I62" s="77" t="inlineStr">
        <is>
          <t>HFIX 4㎟ 3C</t>
        </is>
      </c>
      <c r="J62" s="77" t="inlineStr">
        <is>
          <t>ST 22C</t>
        </is>
      </c>
      <c r="K62" s="77" t="inlineStr">
        <is>
          <t>●</t>
        </is>
      </c>
      <c r="L62" s="101" t="inlineStr">
        <is>
          <t>사용자 확정</t>
        </is>
      </c>
    </row>
    <row r="63" ht="15" customHeight="1" s="78">
      <c r="A63" s="77" t="inlineStr">
        <is>
          <t>LP-E</t>
        </is>
      </c>
      <c r="B63" s="77" t="inlineStr">
        <is>
          <t>ET1</t>
        </is>
      </c>
      <c r="C63" s="77" t="n">
        <v>2</v>
      </c>
      <c r="D63" s="77" t="n">
        <v>30</v>
      </c>
      <c r="E63" s="77" t="n">
        <v>20</v>
      </c>
      <c r="F63" s="77" t="inlineStr">
        <is>
          <t>ELB</t>
        </is>
      </c>
      <c r="G63" s="77" t="inlineStr">
        <is>
          <t>1층 화장실 온수기</t>
        </is>
      </c>
      <c r="H63" s="101" t="inlineStr">
        <is>
          <t>전열</t>
        </is>
      </c>
      <c r="I63" s="77" t="inlineStr">
        <is>
          <t>HFIX 4㎟ 3C</t>
        </is>
      </c>
      <c r="J63" s="77" t="inlineStr">
        <is>
          <t>ST 22C</t>
        </is>
      </c>
      <c r="K63" s="77" t="inlineStr">
        <is>
          <t>●</t>
        </is>
      </c>
    </row>
    <row r="64" ht="15" customHeight="1" s="78">
      <c r="A64" s="77" t="inlineStr">
        <is>
          <t>LP-E</t>
        </is>
      </c>
      <c r="B64" s="77" t="inlineStr">
        <is>
          <t>EH1</t>
        </is>
      </c>
      <c r="C64" s="77" t="n">
        <v>2</v>
      </c>
      <c r="D64" s="77" t="n">
        <v>30</v>
      </c>
      <c r="E64" s="77" t="n">
        <v>20</v>
      </c>
      <c r="F64" s="77" t="inlineStr">
        <is>
          <t>ELB</t>
        </is>
      </c>
      <c r="G64" s="77" t="inlineStr">
        <is>
          <t>1층 화장실 히터</t>
        </is>
      </c>
      <c r="H64" s="101" t="inlineStr">
        <is>
          <t>전열</t>
        </is>
      </c>
      <c r="I64" s="77" t="inlineStr">
        <is>
          <t>HFIX 4㎟ 3C</t>
        </is>
      </c>
      <c r="J64" s="77" t="inlineStr">
        <is>
          <t>ST 22C</t>
        </is>
      </c>
      <c r="K64" s="77" t="inlineStr">
        <is>
          <t>●</t>
        </is>
      </c>
    </row>
    <row r="65" ht="15" customHeight="1" s="78">
      <c r="A65" s="77" t="inlineStr">
        <is>
          <t>LP-E</t>
        </is>
      </c>
      <c r="B65" s="77" t="inlineStr">
        <is>
          <t>A4</t>
        </is>
      </c>
      <c r="C65" s="77" t="n">
        <v>2</v>
      </c>
      <c r="D65" s="77" t="n">
        <v>30</v>
      </c>
      <c r="E65" s="77" t="n">
        <v>20</v>
      </c>
      <c r="F65" s="77" t="inlineStr">
        <is>
          <t>ELB</t>
        </is>
      </c>
      <c r="G65" s="101" t="inlineStr">
        <is>
          <t>에어커튼</t>
        </is>
      </c>
      <c r="H65" s="101" t="inlineStr">
        <is>
          <t>동력</t>
        </is>
      </c>
      <c r="I65" s="77" t="inlineStr">
        <is>
          <t>HFIX 4㎟ 3C</t>
        </is>
      </c>
      <c r="J65" s="77" t="inlineStr">
        <is>
          <t>ST 22C</t>
        </is>
      </c>
      <c r="K65" s="77" t="inlineStr">
        <is>
          <t>●</t>
        </is>
      </c>
      <c r="L65" s="101" t="inlineStr">
        <is>
          <t>에어커튼 2</t>
        </is>
      </c>
    </row>
    <row r="66" ht="15" customHeight="1" s="78">
      <c r="A66" s="77" t="inlineStr">
        <is>
          <t>LP-E</t>
        </is>
      </c>
      <c r="B66" s="77" t="inlineStr">
        <is>
          <t>ER1</t>
        </is>
      </c>
      <c r="C66" s="77" t="n">
        <v>2</v>
      </c>
      <c r="D66" s="77" t="n">
        <v>30</v>
      </c>
      <c r="E66" s="77" t="n">
        <v>20</v>
      </c>
      <c r="F66" s="77" t="inlineStr">
        <is>
          <t>ELB</t>
        </is>
      </c>
      <c r="G66" s="101" t="inlineStr">
        <is>
          <t>매니저룸 (CCTV 모니터)</t>
        </is>
      </c>
      <c r="H66" s="101" t="inlineStr">
        <is>
          <t>전열</t>
        </is>
      </c>
      <c r="I66" s="77" t="inlineStr">
        <is>
          <t>HFIX 4㎟ 3C</t>
        </is>
      </c>
      <c r="J66" s="77" t="inlineStr">
        <is>
          <t>ST 22C</t>
        </is>
      </c>
      <c r="K66" s="77" t="inlineStr">
        <is>
          <t>●</t>
        </is>
      </c>
    </row>
    <row r="67" ht="15" customHeight="1" s="78">
      <c r="A67" s="77" t="inlineStr">
        <is>
          <t>LP-E</t>
        </is>
      </c>
      <c r="B67" s="77" t="inlineStr">
        <is>
          <t>ER4</t>
        </is>
      </c>
      <c r="C67" s="77" t="n">
        <v>2</v>
      </c>
      <c r="D67" s="77" t="n">
        <v>30</v>
      </c>
      <c r="E67" s="77" t="n">
        <v>20</v>
      </c>
      <c r="F67" s="77" t="inlineStr">
        <is>
          <t>ELB</t>
        </is>
      </c>
      <c r="G67" s="101" t="inlineStr">
        <is>
          <t>매니저룸</t>
        </is>
      </c>
      <c r="H67" s="101" t="inlineStr">
        <is>
          <t>전열</t>
        </is>
      </c>
      <c r="I67" s="77" t="inlineStr">
        <is>
          <t>HFIX 4㎟ 3C</t>
        </is>
      </c>
      <c r="J67" s="77" t="inlineStr">
        <is>
          <t>ST 22C</t>
        </is>
      </c>
      <c r="K67" s="77" t="inlineStr">
        <is>
          <t>●</t>
        </is>
      </c>
    </row>
    <row r="68" ht="15" customHeight="1" s="78">
      <c r="A68" s="77" t="inlineStr">
        <is>
          <t>LP-E</t>
        </is>
      </c>
      <c r="B68" s="77" t="inlineStr">
        <is>
          <t>F1</t>
        </is>
      </c>
      <c r="C68" s="77" t="n">
        <v>2</v>
      </c>
      <c r="D68" s="77" t="n">
        <v>30</v>
      </c>
      <c r="E68" s="77" t="n">
        <v>20</v>
      </c>
      <c r="F68" s="77" t="inlineStr">
        <is>
          <t>ELB</t>
        </is>
      </c>
      <c r="G68" s="101" t="inlineStr">
        <is>
          <t>자동확산소화기</t>
        </is>
      </c>
      <c r="H68" s="101" t="inlineStr">
        <is>
          <t>소방</t>
        </is>
      </c>
      <c r="I68" s="77" t="inlineStr">
        <is>
          <t>HFIX 2.5㎟ 3C</t>
        </is>
      </c>
      <c r="J68" s="77" t="inlineStr">
        <is>
          <t>ST 16C</t>
        </is>
      </c>
      <c r="K68" s="77" t="inlineStr">
        <is>
          <t>●</t>
        </is>
      </c>
    </row>
    <row r="69" ht="15" customHeight="1" s="78">
      <c r="A69" s="77" t="inlineStr">
        <is>
          <t>LP-E</t>
        </is>
      </c>
      <c r="B69" s="77" t="inlineStr">
        <is>
          <t>DC1</t>
        </is>
      </c>
      <c r="C69" s="77" t="n">
        <v>2</v>
      </c>
      <c r="D69" s="77" t="n">
        <v>30</v>
      </c>
      <c r="E69" s="77" t="n">
        <v>20</v>
      </c>
      <c r="F69" s="77" t="inlineStr">
        <is>
          <t>ELB</t>
        </is>
      </c>
      <c r="G69" s="77" t="inlineStr">
        <is>
          <t>DC등 (비상조명)</t>
        </is>
      </c>
      <c r="H69" s="101" t="inlineStr">
        <is>
          <t>비상조명</t>
        </is>
      </c>
      <c r="I69" s="77" t="inlineStr">
        <is>
          <t>HFIX 2.5㎟ 3C</t>
        </is>
      </c>
      <c r="J69" s="77" t="inlineStr">
        <is>
          <t>ST 16C</t>
        </is>
      </c>
      <c r="K69" s="77" t="inlineStr">
        <is>
          <t>●</t>
        </is>
      </c>
    </row>
    <row r="70" ht="15" customHeight="1" s="78">
      <c r="A70" s="77" t="inlineStr">
        <is>
          <t>LP-E</t>
        </is>
      </c>
      <c r="B70" s="77" t="inlineStr">
        <is>
          <t>ET2</t>
        </is>
      </c>
      <c r="C70" s="77" t="n">
        <v>2</v>
      </c>
      <c r="D70" s="77" t="n">
        <v>30</v>
      </c>
      <c r="E70" s="77" t="n">
        <v>20</v>
      </c>
      <c r="F70" s="77" t="inlineStr">
        <is>
          <t>ELB</t>
        </is>
      </c>
      <c r="G70" s="77" t="inlineStr">
        <is>
          <t>2층 화장실 온수기</t>
        </is>
      </c>
      <c r="H70" s="101" t="inlineStr">
        <is>
          <t>전열</t>
        </is>
      </c>
      <c r="I70" s="77" t="inlineStr">
        <is>
          <t>HFIX 4㎟ 3C</t>
        </is>
      </c>
      <c r="J70" s="77" t="inlineStr">
        <is>
          <t>ST 22C</t>
        </is>
      </c>
      <c r="K70" s="77" t="inlineStr">
        <is>
          <t>●</t>
        </is>
      </c>
    </row>
    <row r="71" ht="15" customHeight="1" s="78">
      <c r="A71" s="77" t="inlineStr">
        <is>
          <t>LP-E</t>
        </is>
      </c>
      <c r="B71" s="77" t="inlineStr">
        <is>
          <t>EH2</t>
        </is>
      </c>
      <c r="C71" s="77" t="n">
        <v>2</v>
      </c>
      <c r="D71" s="77" t="n">
        <v>30</v>
      </c>
      <c r="E71" s="77" t="n">
        <v>20</v>
      </c>
      <c r="F71" s="77" t="inlineStr">
        <is>
          <t>ELB</t>
        </is>
      </c>
      <c r="G71" s="77" t="inlineStr">
        <is>
          <t>2층 화장실 히터</t>
        </is>
      </c>
      <c r="H71" s="101" t="inlineStr">
        <is>
          <t>전열</t>
        </is>
      </c>
      <c r="I71" s="77" t="inlineStr">
        <is>
          <t>HFIX 4㎟ 3C</t>
        </is>
      </c>
      <c r="J71" s="77" t="inlineStr">
        <is>
          <t>ST 22C</t>
        </is>
      </c>
      <c r="K71" s="77" t="inlineStr">
        <is>
          <t>●</t>
        </is>
      </c>
    </row>
    <row r="72" ht="15" customHeight="1" s="78">
      <c r="A72" s="77" t="inlineStr">
        <is>
          <t>LP-E</t>
        </is>
      </c>
      <c r="B72" s="77" t="inlineStr">
        <is>
          <t>SP</t>
        </is>
      </c>
      <c r="C72" s="77" t="n">
        <v>2</v>
      </c>
      <c r="D72" s="77" t="n">
        <v>30</v>
      </c>
      <c r="E72" s="77" t="n">
        <v>20</v>
      </c>
      <c r="F72" s="77" t="inlineStr">
        <is>
          <t>ELB</t>
        </is>
      </c>
      <c r="G72" s="77" t="inlineStr">
        <is>
          <t>SPARE</t>
        </is>
      </c>
      <c r="H72" s="101" t="inlineStr">
        <is>
          <t>예비</t>
        </is>
      </c>
      <c r="I72" s="77" t="inlineStr">
        <is>
          <t>-</t>
        </is>
      </c>
      <c r="J72" s="77" t="inlineStr">
        <is>
          <t>-</t>
        </is>
      </c>
      <c r="K72" s="77" t="inlineStr">
        <is>
          <t>●</t>
        </is>
      </c>
    </row>
    <row r="73" ht="15" customHeight="1" s="78">
      <c r="A73" s="77" t="inlineStr">
        <is>
          <t>LP-E</t>
        </is>
      </c>
      <c r="B73" s="77" t="inlineStr">
        <is>
          <t>SP</t>
        </is>
      </c>
      <c r="C73" s="77" t="n">
        <v>2</v>
      </c>
      <c r="D73" s="77" t="n">
        <v>30</v>
      </c>
      <c r="E73" s="77" t="n">
        <v>20</v>
      </c>
      <c r="F73" s="77" t="inlineStr">
        <is>
          <t>ELB</t>
        </is>
      </c>
      <c r="G73" s="77" t="inlineStr">
        <is>
          <t>SPARE</t>
        </is>
      </c>
      <c r="H73" s="101" t="inlineStr">
        <is>
          <t>예비</t>
        </is>
      </c>
      <c r="I73" s="77" t="inlineStr">
        <is>
          <t>-</t>
        </is>
      </c>
      <c r="J73" s="77" t="inlineStr">
        <is>
          <t>-</t>
        </is>
      </c>
      <c r="K73" s="77" t="inlineStr">
        <is>
          <t>●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77" min="1" max="1"/>
    <col width="9" customWidth="1" style="77" min="2" max="2"/>
    <col width="11" customWidth="1" style="77" min="3" max="3"/>
    <col width="44" customWidth="1" style="77" min="4" max="4"/>
    <col width="28" customWidth="1" style="77" min="5" max="5"/>
    <col width="22" customWidth="1" style="77" min="6" max="6"/>
    <col width="18" customWidth="1" style="77" min="7" max="7"/>
  </cols>
  <sheetData>
    <row r="1" ht="24" customHeight="1" s="78">
      <c r="A1" s="79" t="inlineStr">
        <is>
          <t>No.</t>
        </is>
      </c>
      <c r="B1" s="80" t="inlineStr">
        <is>
          <t>구분</t>
        </is>
      </c>
      <c r="C1" s="80" t="inlineStr">
        <is>
          <t>심볼</t>
        </is>
      </c>
      <c r="D1" s="80" t="inlineStr">
        <is>
          <t>영문 명칭</t>
        </is>
      </c>
      <c r="E1" s="80" t="inlineStr">
        <is>
          <t>한글 명칭</t>
        </is>
      </c>
      <c r="F1" s="80" t="inlineStr">
        <is>
          <t>와트(W)</t>
        </is>
      </c>
      <c r="G1" s="80" t="inlineStr">
        <is>
          <t>비고</t>
        </is>
      </c>
    </row>
    <row r="2" ht="15" customHeight="1" s="78">
      <c r="A2" s="84" t="n">
        <v>1</v>
      </c>
      <c r="B2" s="87" t="inlineStr">
        <is>
          <t>조명</t>
        </is>
      </c>
      <c r="C2" s="84" t="inlineStr">
        <is>
          <t>●(RED)</t>
        </is>
      </c>
      <c r="D2" s="85" t="inlineStr">
        <is>
          <t>RED PENDANT MOUNTED LIGHTING FIXTURE</t>
        </is>
      </c>
      <c r="E2" s="86" t="inlineStr">
        <is>
          <t>적색 펜던트 매입형 조명</t>
        </is>
      </c>
      <c r="F2" s="84" t="n">
        <v>9</v>
      </c>
      <c r="G2" s="85" t="inlineStr">
        <is>
          <t>LED</t>
        </is>
      </c>
    </row>
    <row r="3" ht="15" customHeight="1" s="78">
      <c r="A3" s="84" t="n">
        <v>2</v>
      </c>
      <c r="B3" s="87" t="inlineStr">
        <is>
          <t>조명</t>
        </is>
      </c>
      <c r="C3" s="84" t="inlineStr">
        <is>
          <t>●(WHITE)</t>
        </is>
      </c>
      <c r="D3" s="85" t="inlineStr">
        <is>
          <t>WHITE PENDANT MOUNTED LIGHTING FIXTURE</t>
        </is>
      </c>
      <c r="E3" s="86" t="inlineStr">
        <is>
          <t>백색 펜던트 매입형 조명</t>
        </is>
      </c>
      <c r="F3" s="84" t="n">
        <v>9</v>
      </c>
      <c r="G3" s="85" t="inlineStr">
        <is>
          <t>LED</t>
        </is>
      </c>
    </row>
    <row r="4" ht="15" customHeight="1" s="78">
      <c r="A4" s="84" t="n">
        <v>3</v>
      </c>
      <c r="B4" s="87" t="inlineStr">
        <is>
          <t>조명</t>
        </is>
      </c>
      <c r="C4" s="84" t="inlineStr">
        <is>
          <t>■(64W)</t>
        </is>
      </c>
      <c r="D4" s="85" t="inlineStr">
        <is>
          <t>CEILING RECESSED LIGHTING FIXTURE</t>
        </is>
      </c>
      <c r="E4" s="86" t="inlineStr">
        <is>
          <t>천정 매입형 조명</t>
        </is>
      </c>
      <c r="F4" s="84" t="n">
        <v>64</v>
      </c>
      <c r="G4" s="85" t="inlineStr">
        <is>
          <t>LED 메인</t>
        </is>
      </c>
    </row>
    <row r="5" ht="15" customHeight="1" s="78">
      <c r="A5" s="84" t="n">
        <v>4</v>
      </c>
      <c r="B5" s="87" t="inlineStr">
        <is>
          <t>조명</t>
        </is>
      </c>
      <c r="C5" s="84" t="inlineStr">
        <is>
          <t>■(30W)</t>
        </is>
      </c>
      <c r="D5" s="85" t="inlineStr">
        <is>
          <t>CEILING RECESSED LIGHTING FIXTURE</t>
        </is>
      </c>
      <c r="E5" s="86" t="inlineStr">
        <is>
          <t>천정 매입형 조명</t>
        </is>
      </c>
      <c r="F5" s="84" t="n">
        <v>30</v>
      </c>
      <c r="G5" s="85" t="inlineStr">
        <is>
          <t>LED</t>
        </is>
      </c>
    </row>
    <row r="6" ht="15" customHeight="1" s="78">
      <c r="A6" s="84" t="n">
        <v>5</v>
      </c>
      <c r="B6" s="87" t="inlineStr">
        <is>
          <t>조명</t>
        </is>
      </c>
      <c r="C6" s="84" t="inlineStr">
        <is>
          <t>↔</t>
        </is>
      </c>
      <c r="D6" s="85" t="inlineStr">
        <is>
          <t>TRACK LIGHTING FIXTURE (Finish: White)</t>
        </is>
      </c>
      <c r="E6" s="86" t="inlineStr">
        <is>
          <t>트랙 조명 (백색)</t>
        </is>
      </c>
      <c r="F6" s="84" t="n">
        <v>9</v>
      </c>
      <c r="G6" s="85" t="inlineStr">
        <is>
          <t>LED</t>
        </is>
      </c>
    </row>
    <row r="7" ht="15" customHeight="1" s="78">
      <c r="A7" s="84" t="n">
        <v>6</v>
      </c>
      <c r="B7" s="87" t="inlineStr">
        <is>
          <t>조명</t>
        </is>
      </c>
      <c r="C7" s="84" t="inlineStr">
        <is>
          <t>━</t>
        </is>
      </c>
      <c r="D7" s="85" t="inlineStr">
        <is>
          <t>PIPE PENDANT LIGHTING FIXTURE</t>
        </is>
      </c>
      <c r="E7" s="86" t="inlineStr">
        <is>
          <t>파이프 펜던트 조명</t>
        </is>
      </c>
      <c r="F7" s="84" t="n">
        <v>40</v>
      </c>
      <c r="G7" s="85" t="inlineStr">
        <is>
          <t>LED</t>
        </is>
      </c>
    </row>
    <row r="8" ht="15" customHeight="1" s="78">
      <c r="A8" s="84" t="n">
        <v>7</v>
      </c>
      <c r="B8" s="87" t="inlineStr">
        <is>
          <t>조명</t>
        </is>
      </c>
      <c r="C8" s="84" t="inlineStr">
        <is>
          <t>━(IND)</t>
        </is>
      </c>
      <c r="D8" s="85" t="inlineStr">
        <is>
          <t>INDIRECT LIGHTING FIXTURE</t>
        </is>
      </c>
      <c r="E8" s="86" t="inlineStr">
        <is>
          <t>간접 조명</t>
        </is>
      </c>
      <c r="F8" s="84" t="n">
        <v>16</v>
      </c>
      <c r="G8" s="85" t="inlineStr">
        <is>
          <t>LED</t>
        </is>
      </c>
    </row>
    <row r="9" ht="15" customHeight="1" s="78">
      <c r="A9" s="84" t="n">
        <v>8</v>
      </c>
      <c r="B9" s="87" t="inlineStr">
        <is>
          <t>조명</t>
        </is>
      </c>
      <c r="C9" s="84" t="inlineStr">
        <is>
          <t>■(BLK6W)</t>
        </is>
      </c>
      <c r="D9" s="85" t="inlineStr">
        <is>
          <t>CEILING RECESSED BLACK LIGHTING FIXTURE</t>
        </is>
      </c>
      <c r="E9" s="86" t="inlineStr">
        <is>
          <t>천정 매입형 조명 (흑)</t>
        </is>
      </c>
      <c r="F9" s="84" t="n">
        <v>6</v>
      </c>
      <c r="G9" s="85" t="inlineStr">
        <is>
          <t>LED</t>
        </is>
      </c>
    </row>
    <row r="10" ht="15" customHeight="1" s="78">
      <c r="A10" s="102" t="n">
        <v>9</v>
      </c>
      <c r="B10" s="103" t="inlineStr">
        <is>
          <t>비상조명</t>
        </is>
      </c>
      <c r="C10" s="102" t="inlineStr">
        <is>
          <t>■(EMG6W)</t>
        </is>
      </c>
      <c r="D10" s="104" t="inlineStr">
        <is>
          <t>CEILING RECESSED WHITE LIGHTING FIXTURE (EMERGENCY)</t>
        </is>
      </c>
      <c r="E10" s="105" t="inlineStr">
        <is>
          <t>천정 매입형 비상조명 (백)</t>
        </is>
      </c>
      <c r="F10" s="102" t="n">
        <v>6</v>
      </c>
      <c r="G10" s="104" t="inlineStr">
        <is>
          <t>LED 비상</t>
        </is>
      </c>
    </row>
    <row r="11" ht="15" customHeight="1" s="78">
      <c r="A11" s="77" t="n">
        <v>10</v>
      </c>
      <c r="B11" s="101" t="inlineStr">
        <is>
          <t>비상조명</t>
        </is>
      </c>
      <c r="C11" s="77" t="inlineStr">
        <is>
          <t>■(EMG10W)</t>
        </is>
      </c>
      <c r="D11" s="77" t="inlineStr">
        <is>
          <t>DIRECT LIGHTING FIXTURE (EMERGENCY)</t>
        </is>
      </c>
      <c r="E11" s="101" t="inlineStr">
        <is>
          <t>직부 비상조명</t>
        </is>
      </c>
      <c r="F11" s="77" t="n">
        <v>10</v>
      </c>
      <c r="G11" s="77" t="inlineStr">
        <is>
          <t>LED 비상</t>
        </is>
      </c>
    </row>
    <row r="13" ht="24" customHeight="1" s="78">
      <c r="A13" s="79" t="n"/>
      <c r="B13" s="79" t="n"/>
      <c r="C13" s="79" t="n"/>
      <c r="D13" s="79" t="n"/>
      <c r="E13" s="79" t="n"/>
      <c r="F13" s="79" t="n"/>
      <c r="G13" s="79" t="n"/>
    </row>
    <row r="14" ht="15" customHeight="1" s="78">
      <c r="A14" s="106" t="inlineStr">
        <is>
          <t>#</t>
        </is>
      </c>
      <c r="B14" s="107" t="inlineStr">
        <is>
          <t>구분</t>
        </is>
      </c>
      <c r="C14" s="107" t="inlineStr">
        <is>
          <t>심볼</t>
        </is>
      </c>
      <c r="D14" s="108" t="inlineStr">
        <is>
          <t>영문 명칭</t>
        </is>
      </c>
      <c r="E14" s="108" t="inlineStr">
        <is>
          <t>한글 명칭</t>
        </is>
      </c>
      <c r="F14" s="107" t="inlineStr">
        <is>
          <t>규격</t>
        </is>
      </c>
      <c r="G14" s="108" t="inlineStr">
        <is>
          <t>비고</t>
        </is>
      </c>
    </row>
    <row r="15" ht="15" customHeight="1" s="78">
      <c r="A15" s="88" t="n">
        <v>1</v>
      </c>
      <c r="B15" s="91" t="inlineStr">
        <is>
          <t>스위치</t>
        </is>
      </c>
      <c r="C15" s="88" t="inlineStr">
        <is>
          <t>●</t>
        </is>
      </c>
      <c r="D15" s="89" t="inlineStr">
        <is>
          <t>SINGLE POLE SWITCH</t>
        </is>
      </c>
      <c r="E15" s="90" t="inlineStr">
        <is>
          <t>단로 스위치</t>
        </is>
      </c>
      <c r="F15" s="88" t="inlineStr">
        <is>
          <t>250V 15A</t>
        </is>
      </c>
      <c r="G15" s="89" t="n"/>
    </row>
    <row r="16" ht="15" customHeight="1" s="78">
      <c r="A16" s="88" t="n">
        <v>2</v>
      </c>
      <c r="B16" s="91" t="inlineStr">
        <is>
          <t>스위치</t>
        </is>
      </c>
      <c r="C16" s="88" t="inlineStr">
        <is>
          <t>●₂</t>
        </is>
      </c>
      <c r="D16" s="89" t="inlineStr">
        <is>
          <t>SINGLE POLE TWO WAY SWITCH</t>
        </is>
      </c>
      <c r="E16" s="89" t="inlineStr">
        <is>
          <t>2로 스위치</t>
        </is>
      </c>
      <c r="F16" s="88" t="inlineStr">
        <is>
          <t>250V 15A</t>
        </is>
      </c>
      <c r="G16" s="89" t="n"/>
    </row>
    <row r="17" ht="15" customHeight="1" s="78">
      <c r="A17" s="88" t="n">
        <v>3</v>
      </c>
      <c r="B17" s="91" t="inlineStr">
        <is>
          <t>스위치</t>
        </is>
      </c>
      <c r="C17" s="88" t="inlineStr">
        <is>
          <t>●₃</t>
        </is>
      </c>
      <c r="D17" s="89" t="inlineStr">
        <is>
          <t>SINGLE POLE THREE WAY SWITCH</t>
        </is>
      </c>
      <c r="E17" s="89" t="inlineStr">
        <is>
          <t>3로 스위치</t>
        </is>
      </c>
      <c r="F17" s="88" t="inlineStr">
        <is>
          <t>250V 15A</t>
        </is>
      </c>
      <c r="G17" s="89" t="n"/>
    </row>
    <row r="18" ht="15" customHeight="1" s="78">
      <c r="A18" s="88" t="n">
        <v>4</v>
      </c>
      <c r="B18" s="91" t="inlineStr">
        <is>
          <t>스위치</t>
        </is>
      </c>
      <c r="C18" s="88" t="inlineStr">
        <is>
          <t>●ₘ</t>
        </is>
      </c>
      <c r="D18" s="89" t="inlineStr">
        <is>
          <t>SINGLE POLE MULTI WAY SWITCH</t>
        </is>
      </c>
      <c r="E18" s="90" t="inlineStr">
        <is>
          <t>다회로 스위치</t>
        </is>
      </c>
      <c r="F18" s="88" t="inlineStr">
        <is>
          <t>250V 15A</t>
        </is>
      </c>
      <c r="G18" s="89" t="n"/>
    </row>
    <row r="19" ht="15" customHeight="1" s="78">
      <c r="A19" s="88" t="n">
        <v>5</v>
      </c>
      <c r="B19" s="91" t="inlineStr">
        <is>
          <t>스위치</t>
        </is>
      </c>
      <c r="C19" s="88" t="inlineStr">
        <is>
          <t>●₃P</t>
        </is>
      </c>
      <c r="D19" s="89" t="inlineStr">
        <is>
          <t>THREE POLE SWITCH</t>
        </is>
      </c>
      <c r="E19" s="89" t="inlineStr">
        <is>
          <t>3극 스위치</t>
        </is>
      </c>
      <c r="F19" s="88" t="inlineStr">
        <is>
          <t>250V 15A</t>
        </is>
      </c>
      <c r="G19" s="89" t="n"/>
    </row>
    <row r="20" ht="15" customHeight="1" s="78">
      <c r="A20" s="92" t="n">
        <v>6</v>
      </c>
      <c r="B20" s="109" t="inlineStr">
        <is>
          <t>콘센트</t>
        </is>
      </c>
      <c r="C20" s="92" t="inlineStr">
        <is>
          <t>◐</t>
        </is>
      </c>
      <c r="D20" s="93" t="inlineStr">
        <is>
          <t>SINGLE WALL SOCKET 2P-3W-16A-220V</t>
        </is>
      </c>
      <c r="E20" s="110" t="inlineStr">
        <is>
          <t>접지형 1구 콘센트</t>
        </is>
      </c>
      <c r="F20" s="92" t="inlineStr">
        <is>
          <t>220V 16A</t>
        </is>
      </c>
      <c r="G20" s="93" t="inlineStr">
        <is>
          <t>FLUSH</t>
        </is>
      </c>
    </row>
    <row r="21" ht="15" customHeight="1" s="78">
      <c r="A21" s="92" t="n">
        <v>7</v>
      </c>
      <c r="B21" s="109" t="inlineStr">
        <is>
          <t>콘센트</t>
        </is>
      </c>
      <c r="C21" s="92" t="inlineStr">
        <is>
          <t>◐◐</t>
        </is>
      </c>
      <c r="D21" s="93" t="inlineStr">
        <is>
          <t>DUPLEX WALL SOCKET 2P-3W-16A-220V</t>
        </is>
      </c>
      <c r="E21" s="110" t="inlineStr">
        <is>
          <t>접지형 2구 콘센트</t>
        </is>
      </c>
      <c r="F21" s="92" t="inlineStr">
        <is>
          <t>220V 16A</t>
        </is>
      </c>
      <c r="G21" s="93" t="inlineStr">
        <is>
          <t>FLUSH</t>
        </is>
      </c>
    </row>
    <row r="22" ht="15" customHeight="1" s="78">
      <c r="A22" s="92" t="n">
        <v>8</v>
      </c>
      <c r="B22" s="109" t="inlineStr">
        <is>
          <t>콘센트</t>
        </is>
      </c>
      <c r="C22" s="92" t="inlineStr">
        <is>
          <t>◐◐ᵂᴾ</t>
        </is>
      </c>
      <c r="D22" s="93" t="inlineStr">
        <is>
          <t>DUPLEX WATERPROOF WALL SOCKET</t>
        </is>
      </c>
      <c r="E22" s="110" t="inlineStr">
        <is>
          <t>방우형 2구 콘센트</t>
        </is>
      </c>
      <c r="F22" s="92" t="inlineStr">
        <is>
          <t>220V 16A</t>
        </is>
      </c>
      <c r="G22" s="93" t="inlineStr">
        <is>
          <t>FLUSH</t>
        </is>
      </c>
    </row>
    <row r="23" ht="15" customHeight="1" s="78">
      <c r="A23" s="92" t="n">
        <v>9</v>
      </c>
      <c r="B23" s="109" t="inlineStr">
        <is>
          <t>콘센트</t>
        </is>
      </c>
      <c r="C23" s="92" t="inlineStr">
        <is>
          <t>◐₃</t>
        </is>
      </c>
      <c r="D23" s="93" t="inlineStr">
        <is>
          <t>DUPLEX WALL SOCKET 3P-380V</t>
        </is>
      </c>
      <c r="E23" s="93" t="inlineStr">
        <is>
          <t>3상 콘센트</t>
        </is>
      </c>
      <c r="F23" s="92" t="inlineStr">
        <is>
          <t>380V</t>
        </is>
      </c>
      <c r="G23" s="93" t="inlineStr">
        <is>
          <t>GROUNDING</t>
        </is>
      </c>
    </row>
    <row r="24" ht="15" customHeight="1" s="78">
      <c r="A24" s="81" t="n">
        <v>10</v>
      </c>
      <c r="B24" s="83" t="inlineStr">
        <is>
          <t>분전반</t>
        </is>
      </c>
      <c r="C24" s="81" t="inlineStr">
        <is>
          <t>■</t>
        </is>
      </c>
      <c r="D24" s="111" t="inlineStr">
        <is>
          <t>PANEL BOARD</t>
        </is>
      </c>
      <c r="E24" s="82" t="inlineStr">
        <is>
          <t>전등·전열용 분전반</t>
        </is>
      </c>
      <c r="F24" s="81" t="inlineStr">
        <is>
          <t>-</t>
        </is>
      </c>
      <c r="G24" s="111" t="n"/>
    </row>
    <row r="25" ht="15" customHeight="1" s="78">
      <c r="A25" s="81" t="n">
        <v>11</v>
      </c>
      <c r="B25" s="83" t="inlineStr">
        <is>
          <t>분전반</t>
        </is>
      </c>
      <c r="C25" s="81" t="inlineStr">
        <is>
          <t>☒</t>
        </is>
      </c>
      <c r="D25" s="111" t="inlineStr">
        <is>
          <t>CONTROL PANEL BOARD</t>
        </is>
      </c>
      <c r="E25" s="82" t="inlineStr">
        <is>
          <t>콘트롤 판넬</t>
        </is>
      </c>
      <c r="F25" s="81" t="inlineStr">
        <is>
          <t>-</t>
        </is>
      </c>
      <c r="G25" s="111" t="n"/>
    </row>
    <row r="26" ht="15" customHeight="1" s="78">
      <c r="A26" s="112" t="n">
        <v>12</v>
      </c>
      <c r="B26" s="113" t="inlineStr">
        <is>
          <t>박스</t>
        </is>
      </c>
      <c r="C26" s="112" t="inlineStr">
        <is>
          <t>◊</t>
        </is>
      </c>
      <c r="D26" s="114" t="inlineStr">
        <is>
          <t>SYSTEM BOX</t>
        </is>
      </c>
      <c r="E26" s="114" t="inlineStr">
        <is>
          <t>SYSTEM BOX (콘크리트 매입)</t>
        </is>
      </c>
      <c r="F26" s="112" t="inlineStr">
        <is>
          <t>2구콘센트+2구모듈러잭</t>
        </is>
      </c>
      <c r="G26" s="115" t="inlineStr">
        <is>
          <t>바닥형</t>
        </is>
      </c>
    </row>
    <row r="27" ht="15" customHeight="1" s="78">
      <c r="A27" s="112" t="n">
        <v>13</v>
      </c>
      <c r="B27" s="113" t="inlineStr">
        <is>
          <t>박스</t>
        </is>
      </c>
      <c r="C27" s="112" t="inlineStr">
        <is>
          <t>○</t>
        </is>
      </c>
      <c r="D27" s="114" t="inlineStr">
        <is>
          <t>PULL BOX</t>
        </is>
      </c>
      <c r="E27" s="115" t="inlineStr">
        <is>
          <t>풀박스</t>
        </is>
      </c>
      <c r="F27" s="112" t="inlineStr">
        <is>
          <t>-</t>
        </is>
      </c>
      <c r="G27" s="114" t="n"/>
    </row>
    <row r="28" ht="15" customHeight="1" s="78">
      <c r="A28" s="112" t="n">
        <v>14</v>
      </c>
      <c r="B28" s="113" t="inlineStr">
        <is>
          <t>박스</t>
        </is>
      </c>
      <c r="C28" s="112" t="inlineStr">
        <is>
          <t>○ʲ</t>
        </is>
      </c>
      <c r="D28" s="114" t="inlineStr">
        <is>
          <t>JUNCTION BOX</t>
        </is>
      </c>
      <c r="E28" s="115" t="inlineStr">
        <is>
          <t>정션박스</t>
        </is>
      </c>
      <c r="F28" s="112" t="inlineStr">
        <is>
          <t>-</t>
        </is>
      </c>
      <c r="G28" s="114" t="n"/>
    </row>
    <row r="29" ht="15" customHeight="1" s="78">
      <c r="A29" s="81" t="n">
        <v>15</v>
      </c>
      <c r="B29" s="83" t="inlineStr">
        <is>
          <t>배관</t>
        </is>
      </c>
      <c r="C29" s="81" t="inlineStr">
        <is>
          <t>↑↓</t>
        </is>
      </c>
      <c r="D29" s="111" t="inlineStr">
        <is>
          <t>CONDUIT UP/PASS/DOWN</t>
        </is>
      </c>
      <c r="E29" s="82" t="inlineStr">
        <is>
          <t>배관 UP/PASS/DOWN</t>
        </is>
      </c>
      <c r="F29" s="81" t="inlineStr">
        <is>
          <t>-</t>
        </is>
      </c>
      <c r="G29" s="111" t="n"/>
    </row>
    <row r="30" ht="15" customHeight="1" s="78">
      <c r="A30" s="81" t="n">
        <v>16</v>
      </c>
      <c r="B30" s="83" t="inlineStr">
        <is>
          <t>트레이</t>
        </is>
      </c>
      <c r="C30" s="81" t="inlineStr">
        <is>
          <t>→</t>
        </is>
      </c>
      <c r="D30" s="111" t="inlineStr">
        <is>
          <t>TRAY UP/DOWN</t>
        </is>
      </c>
      <c r="E30" s="82" t="inlineStr">
        <is>
          <t>케이블트레이</t>
        </is>
      </c>
      <c r="F30" s="81" t="inlineStr">
        <is>
          <t>-</t>
        </is>
      </c>
      <c r="G30" s="11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77" min="1" max="1"/>
    <col width="6" customWidth="1" style="77" min="2" max="4"/>
    <col width="9" customWidth="1" style="77" min="5" max="5"/>
    <col width="30" customWidth="1" style="77" min="6" max="6"/>
    <col width="15" customWidth="1" style="77" min="7" max="7"/>
    <col width="8" customWidth="1" style="77" min="8" max="8"/>
  </cols>
  <sheetData>
    <row r="1" ht="14.25" customHeight="1" s="78">
      <c r="A1" s="116" t="inlineStr">
        <is>
          <t>PANEL BOARD "LP-2M" (노출형) — 2F  / FROM: 옥상 수배전반</t>
        </is>
      </c>
    </row>
    <row r="2" ht="15" customHeight="1" s="78">
      <c r="A2" s="117" t="inlineStr">
        <is>
          <t>CCT.NO</t>
        </is>
      </c>
      <c r="B2" s="117" t="inlineStr">
        <is>
          <t>POLE</t>
        </is>
      </c>
      <c r="C2" s="117" t="inlineStr">
        <is>
          <t>AF</t>
        </is>
      </c>
      <c r="D2" s="117" t="inlineStr">
        <is>
          <t>AT</t>
        </is>
      </c>
      <c r="E2" s="117" t="inlineStr">
        <is>
          <t>BREAKER</t>
        </is>
      </c>
      <c r="F2" s="80" t="inlineStr">
        <is>
          <t>부하명</t>
        </is>
      </c>
      <c r="G2" s="80" t="inlineStr">
        <is>
          <t>비고</t>
        </is>
      </c>
      <c r="H2" s="80" t="inlineStr">
        <is>
          <t>신뢰도</t>
        </is>
      </c>
    </row>
    <row r="3" ht="15" customHeight="1" s="78">
      <c r="A3" s="118" t="inlineStr">
        <is>
          <t>MAIN</t>
        </is>
      </c>
      <c r="B3" s="118" t="inlineStr">
        <is>
          <t>4</t>
        </is>
      </c>
      <c r="C3" s="118" t="inlineStr">
        <is>
          <t>100</t>
        </is>
      </c>
      <c r="D3" s="118" t="inlineStr">
        <is>
          <t>75</t>
        </is>
      </c>
      <c r="E3" s="118" t="inlineStr">
        <is>
          <t>MCCB</t>
        </is>
      </c>
      <c r="F3" s="118" t="inlineStr">
        <is>
          <t>MAIN</t>
        </is>
      </c>
      <c r="G3" s="118" t="n"/>
      <c r="H3" s="118" t="n"/>
    </row>
    <row r="4" ht="15" customHeight="1" s="78">
      <c r="A4" s="119" t="inlineStr">
        <is>
          <t>1</t>
        </is>
      </c>
      <c r="B4" s="119" t="inlineStr">
        <is>
          <t>2</t>
        </is>
      </c>
      <c r="C4" s="119" t="inlineStr">
        <is>
          <t>30</t>
        </is>
      </c>
      <c r="D4" s="119" t="inlineStr">
        <is>
          <t>20</t>
        </is>
      </c>
      <c r="E4" s="119" t="inlineStr">
        <is>
          <t>ELB</t>
        </is>
      </c>
      <c r="F4" s="119" t="inlineStr">
        <is>
          <t>OAC-3 (실외기3)</t>
        </is>
      </c>
      <c r="G4" s="119" t="n"/>
      <c r="H4" s="119" t="n"/>
    </row>
    <row r="5" ht="15" customHeight="1" s="78">
      <c r="A5" s="119" t="inlineStr">
        <is>
          <t>2</t>
        </is>
      </c>
      <c r="B5" s="119" t="inlineStr">
        <is>
          <t>4</t>
        </is>
      </c>
      <c r="C5" s="119" t="inlineStr">
        <is>
          <t>50</t>
        </is>
      </c>
      <c r="D5" s="119" t="inlineStr">
        <is>
          <t>30</t>
        </is>
      </c>
      <c r="E5" s="119" t="inlineStr">
        <is>
          <t>MCCB</t>
        </is>
      </c>
      <c r="F5" s="119" t="inlineStr">
        <is>
          <t>PNL → 온수기전원반</t>
        </is>
      </c>
      <c r="G5" s="107" t="inlineStr">
        <is>
          <t>분기</t>
        </is>
      </c>
      <c r="H5" s="107" t="n"/>
    </row>
    <row r="6" ht="15" customHeight="1" s="78">
      <c r="A6" s="119" t="inlineStr">
        <is>
          <t>3</t>
        </is>
      </c>
      <c r="B6" s="119" t="inlineStr">
        <is>
          <t>2</t>
        </is>
      </c>
      <c r="C6" s="119" t="inlineStr">
        <is>
          <t>30</t>
        </is>
      </c>
      <c r="D6" s="119" t="inlineStr">
        <is>
          <t>20</t>
        </is>
      </c>
      <c r="E6" s="119" t="inlineStr">
        <is>
          <t>ELB</t>
        </is>
      </c>
      <c r="F6" s="119" t="inlineStr">
        <is>
          <t>A1 (실내기1)</t>
        </is>
      </c>
      <c r="G6" s="107" t="n"/>
      <c r="H6" s="107" t="n"/>
    </row>
    <row r="7" ht="15" customHeight="1" s="78">
      <c r="A7" s="119" t="inlineStr">
        <is>
          <t>4</t>
        </is>
      </c>
      <c r="B7" s="119" t="inlineStr">
        <is>
          <t>2</t>
        </is>
      </c>
      <c r="C7" s="119" t="inlineStr">
        <is>
          <t>30</t>
        </is>
      </c>
      <c r="D7" s="119" t="inlineStr">
        <is>
          <t>20</t>
        </is>
      </c>
      <c r="E7" s="119" t="inlineStr">
        <is>
          <t>ELB</t>
        </is>
      </c>
      <c r="F7" s="119" t="inlineStr">
        <is>
          <t>K1 (FOUNTAIN DISPENSER)</t>
        </is>
      </c>
      <c r="G7" s="107" t="n"/>
      <c r="H7" s="107" t="n"/>
    </row>
    <row r="8" ht="15" customHeight="1" s="78">
      <c r="A8" s="119" t="inlineStr">
        <is>
          <t>5</t>
        </is>
      </c>
      <c r="B8" s="119" t="inlineStr">
        <is>
          <t>2</t>
        </is>
      </c>
      <c r="C8" s="119" t="inlineStr">
        <is>
          <t>30</t>
        </is>
      </c>
      <c r="D8" s="119" t="inlineStr">
        <is>
          <t>20</t>
        </is>
      </c>
      <c r="E8" s="119" t="inlineStr">
        <is>
          <t>ELB</t>
        </is>
      </c>
      <c r="F8" s="119" t="inlineStr">
        <is>
          <t>K3 (FOUNTAIN DISPENSER)</t>
        </is>
      </c>
      <c r="G8" s="107" t="n"/>
      <c r="H8" s="107" t="n"/>
    </row>
    <row r="9" ht="15" customHeight="1" s="78">
      <c r="A9" s="119" t="inlineStr">
        <is>
          <t>6</t>
        </is>
      </c>
      <c r="B9" s="119" t="inlineStr">
        <is>
          <t>2</t>
        </is>
      </c>
      <c r="C9" s="119" t="inlineStr">
        <is>
          <t>30</t>
        </is>
      </c>
      <c r="D9" s="119" t="inlineStr">
        <is>
          <t>20</t>
        </is>
      </c>
      <c r="E9" s="119" t="inlineStr">
        <is>
          <t>ELB</t>
        </is>
      </c>
      <c r="F9" s="119" t="inlineStr">
        <is>
          <t>R1 (청소용/포장등)</t>
        </is>
      </c>
      <c r="G9" s="107" t="n"/>
      <c r="H9" s="107" t="n"/>
    </row>
    <row r="10" ht="15" customHeight="1" s="78">
      <c r="A10" s="119" t="inlineStr">
        <is>
          <t>7</t>
        </is>
      </c>
      <c r="B10" s="119" t="inlineStr">
        <is>
          <t>2</t>
        </is>
      </c>
      <c r="C10" s="119" t="inlineStr">
        <is>
          <t>30</t>
        </is>
      </c>
      <c r="D10" s="119" t="inlineStr">
        <is>
          <t>20</t>
        </is>
      </c>
      <c r="E10" s="119" t="inlineStr">
        <is>
          <t>ELB</t>
        </is>
      </c>
      <c r="F10" s="119" t="inlineStr">
        <is>
          <t>ERV1 (전열교환기1)</t>
        </is>
      </c>
      <c r="G10" s="107" t="n"/>
      <c r="H10" s="107" t="n"/>
    </row>
    <row r="11" ht="15" customHeight="1" s="78">
      <c r="A11" s="119" t="inlineStr">
        <is>
          <t>8</t>
        </is>
      </c>
      <c r="B11" s="119" t="inlineStr">
        <is>
          <t>2</t>
        </is>
      </c>
      <c r="C11" s="119" t="inlineStr">
        <is>
          <t>30</t>
        </is>
      </c>
      <c r="D11" s="119" t="inlineStr">
        <is>
          <t>20</t>
        </is>
      </c>
      <c r="E11" s="119" t="inlineStr">
        <is>
          <t>ELB</t>
        </is>
      </c>
      <c r="F11" s="119" t="inlineStr">
        <is>
          <t>L1 (LIGHTING)</t>
        </is>
      </c>
      <c r="G11" s="107" t="n"/>
      <c r="H11" s="107" t="n"/>
    </row>
    <row r="12" ht="15" customHeight="1" s="78">
      <c r="A12" s="119" t="inlineStr">
        <is>
          <t>9</t>
        </is>
      </c>
      <c r="B12" s="119" t="inlineStr">
        <is>
          <t>2</t>
        </is>
      </c>
      <c r="C12" s="119" t="inlineStr">
        <is>
          <t>30</t>
        </is>
      </c>
      <c r="D12" s="119" t="inlineStr">
        <is>
          <t>20</t>
        </is>
      </c>
      <c r="E12" s="119" t="inlineStr">
        <is>
          <t>ELB</t>
        </is>
      </c>
      <c r="F12" s="119" t="inlineStr">
        <is>
          <t>EX1 (유도등)</t>
        </is>
      </c>
      <c r="G12" s="107" t="n"/>
      <c r="H12" s="107" t="n"/>
    </row>
    <row r="13" ht="15" customHeight="1" s="78">
      <c r="A13" s="119" t="inlineStr">
        <is>
          <t>10</t>
        </is>
      </c>
      <c r="B13" s="119" t="inlineStr">
        <is>
          <t>2</t>
        </is>
      </c>
      <c r="C13" s="119" t="inlineStr">
        <is>
          <t>30</t>
        </is>
      </c>
      <c r="D13" s="119" t="inlineStr">
        <is>
          <t>20</t>
        </is>
      </c>
      <c r="E13" s="119" t="inlineStr">
        <is>
          <t>ELB</t>
        </is>
      </c>
      <c r="F13" s="119" t="inlineStr">
        <is>
          <t>AD1 (자동문)</t>
        </is>
      </c>
      <c r="G13" s="107" t="n"/>
      <c r="H13" s="107" t="n"/>
    </row>
    <row r="14" ht="15" customHeight="1" s="78">
      <c r="A14" s="119" t="inlineStr">
        <is>
          <t>11</t>
        </is>
      </c>
      <c r="B14" s="119" t="inlineStr">
        <is>
          <t>2</t>
        </is>
      </c>
      <c r="C14" s="119" t="inlineStr">
        <is>
          <t>30</t>
        </is>
      </c>
      <c r="D14" s="119" t="inlineStr">
        <is>
          <t>20</t>
        </is>
      </c>
      <c r="E14" s="119" t="inlineStr">
        <is>
          <t>ELB</t>
        </is>
      </c>
      <c r="F14" s="119" t="inlineStr">
        <is>
          <t>SP1 (간이스프링쿨러)</t>
        </is>
      </c>
      <c r="G14" s="107" t="n"/>
      <c r="H14" s="107" t="n"/>
    </row>
    <row r="15" ht="15" customHeight="1" s="78">
      <c r="A15" s="120" t="inlineStr">
        <is>
          <t>13</t>
        </is>
      </c>
      <c r="B15" s="120" t="inlineStr">
        <is>
          <t>1</t>
        </is>
      </c>
      <c r="C15" s="120" t="inlineStr">
        <is>
          <t>-</t>
        </is>
      </c>
      <c r="D15" s="120" t="inlineStr">
        <is>
          <t>-</t>
        </is>
      </c>
      <c r="E15" s="120" t="inlineStr">
        <is>
          <t>SPARE</t>
        </is>
      </c>
      <c r="F15" s="120" t="inlineStr">
        <is>
          <t>SPARE</t>
        </is>
      </c>
      <c r="G15" s="113" t="inlineStr">
        <is>
          <t>예비</t>
        </is>
      </c>
      <c r="H15" s="120" t="inlineStr">
        <is>
          <t>●</t>
        </is>
      </c>
    </row>
    <row r="16" ht="15" customHeight="1" s="78">
      <c r="A16" s="120" t="inlineStr">
        <is>
          <t>14</t>
        </is>
      </c>
      <c r="B16" s="120" t="inlineStr">
        <is>
          <t>1</t>
        </is>
      </c>
      <c r="C16" s="120" t="inlineStr">
        <is>
          <t>-</t>
        </is>
      </c>
      <c r="D16" s="120" t="inlineStr">
        <is>
          <t>-</t>
        </is>
      </c>
      <c r="E16" s="120" t="inlineStr">
        <is>
          <t>SPARE</t>
        </is>
      </c>
      <c r="F16" s="120" t="inlineStr">
        <is>
          <t>SPARE</t>
        </is>
      </c>
      <c r="G16" s="113" t="inlineStr">
        <is>
          <t>예비</t>
        </is>
      </c>
      <c r="H16" s="120" t="inlineStr">
        <is>
          <t>●</t>
        </is>
      </c>
    </row>
    <row r="17" ht="15" customHeight="1" s="78">
      <c r="A17" s="119" t="inlineStr">
        <is>
          <t>15</t>
        </is>
      </c>
      <c r="B17" s="119" t="inlineStr">
        <is>
          <t>2</t>
        </is>
      </c>
      <c r="C17" s="119" t="inlineStr">
        <is>
          <t>30</t>
        </is>
      </c>
      <c r="D17" s="119" t="inlineStr">
        <is>
          <t>20</t>
        </is>
      </c>
      <c r="E17" s="119" t="inlineStr">
        <is>
          <t>ELB</t>
        </is>
      </c>
      <c r="F17" s="119" t="inlineStr">
        <is>
          <t>A2 (실내기2)</t>
        </is>
      </c>
      <c r="G17" s="107" t="n"/>
      <c r="H17" s="107" t="n"/>
    </row>
    <row r="18" ht="15" customHeight="1" s="78">
      <c r="A18" s="119" t="inlineStr">
        <is>
          <t>16</t>
        </is>
      </c>
      <c r="B18" s="119" t="inlineStr">
        <is>
          <t>2</t>
        </is>
      </c>
      <c r="C18" s="119" t="inlineStr">
        <is>
          <t>30</t>
        </is>
      </c>
      <c r="D18" s="119" t="inlineStr">
        <is>
          <t>20</t>
        </is>
      </c>
      <c r="E18" s="119" t="inlineStr">
        <is>
          <t>ELB</t>
        </is>
      </c>
      <c r="F18" s="119" t="inlineStr">
        <is>
          <t>K2 (ICE CUBE)</t>
        </is>
      </c>
      <c r="G18" s="107" t="n"/>
      <c r="H18" s="107" t="n"/>
    </row>
    <row r="19" ht="15" customHeight="1" s="78">
      <c r="A19" s="119" t="inlineStr">
        <is>
          <t>17</t>
        </is>
      </c>
      <c r="B19" s="119" t="inlineStr">
        <is>
          <t>2</t>
        </is>
      </c>
      <c r="C19" s="119" t="inlineStr">
        <is>
          <t>30</t>
        </is>
      </c>
      <c r="D19" s="119" t="inlineStr">
        <is>
          <t>20</t>
        </is>
      </c>
      <c r="E19" s="119" t="inlineStr">
        <is>
          <t>ELB</t>
        </is>
      </c>
      <c r="F19" s="119" t="inlineStr">
        <is>
          <t>K4 (ICE CUBE)</t>
        </is>
      </c>
      <c r="G19" s="107" t="n"/>
      <c r="H19" s="107" t="n"/>
    </row>
    <row r="20" ht="15" customHeight="1" s="78">
      <c r="A20" s="119" t="inlineStr">
        <is>
          <t>18</t>
        </is>
      </c>
      <c r="B20" s="119" t="inlineStr">
        <is>
          <t>2</t>
        </is>
      </c>
      <c r="C20" s="119" t="inlineStr">
        <is>
          <t>30</t>
        </is>
      </c>
      <c r="D20" s="119" t="inlineStr">
        <is>
          <t>20</t>
        </is>
      </c>
      <c r="E20" s="119" t="inlineStr">
        <is>
          <t>ELB</t>
        </is>
      </c>
      <c r="F20" s="119" t="inlineStr">
        <is>
          <t>R2 (콘센트)</t>
        </is>
      </c>
      <c r="G20" s="107" t="n"/>
      <c r="H20" s="107" t="n"/>
    </row>
    <row r="21" ht="15" customHeight="1" s="78">
      <c r="A21" s="119" t="inlineStr">
        <is>
          <t>19</t>
        </is>
      </c>
      <c r="B21" s="119" t="inlineStr">
        <is>
          <t>2</t>
        </is>
      </c>
      <c r="C21" s="119" t="inlineStr">
        <is>
          <t>30</t>
        </is>
      </c>
      <c r="D21" s="119" t="inlineStr">
        <is>
          <t>20</t>
        </is>
      </c>
      <c r="E21" s="119" t="inlineStr">
        <is>
          <t>ELB</t>
        </is>
      </c>
      <c r="F21" s="119" t="inlineStr">
        <is>
          <t>ERV2 (전열교환기2)</t>
        </is>
      </c>
      <c r="G21" s="107" t="n"/>
      <c r="H21" s="107" t="n"/>
    </row>
    <row r="22" ht="15" customHeight="1" s="78">
      <c r="A22" s="119" t="inlineStr">
        <is>
          <t>20</t>
        </is>
      </c>
      <c r="B22" s="119" t="inlineStr">
        <is>
          <t>2</t>
        </is>
      </c>
      <c r="C22" s="119" t="inlineStr">
        <is>
          <t>30</t>
        </is>
      </c>
      <c r="D22" s="119" t="inlineStr">
        <is>
          <t>20</t>
        </is>
      </c>
      <c r="E22" s="119" t="inlineStr">
        <is>
          <t>ELB</t>
        </is>
      </c>
      <c r="F22" s="119" t="inlineStr">
        <is>
          <t>L2 (LIGHTING)</t>
        </is>
      </c>
      <c r="G22" s="107" t="n"/>
      <c r="H22" s="107" t="n"/>
    </row>
    <row r="23" ht="15" customHeight="1" s="78">
      <c r="A23" s="119" t="inlineStr">
        <is>
          <t>21</t>
        </is>
      </c>
      <c r="B23" s="119" t="inlineStr">
        <is>
          <t>2</t>
        </is>
      </c>
      <c r="C23" s="119" t="inlineStr">
        <is>
          <t>30</t>
        </is>
      </c>
      <c r="D23" s="119" t="inlineStr">
        <is>
          <t>20</t>
        </is>
      </c>
      <c r="E23" s="119" t="inlineStr">
        <is>
          <t>ELB</t>
        </is>
      </c>
      <c r="F23" s="119" t="inlineStr">
        <is>
          <t>DC1 (비상조명등)</t>
        </is>
      </c>
      <c r="G23" s="107" t="inlineStr">
        <is>
          <t>사용자확인</t>
        </is>
      </c>
      <c r="H23" s="107" t="n"/>
    </row>
    <row r="24" ht="15" customHeight="1" s="78">
      <c r="A24" s="119" t="inlineStr">
        <is>
          <t>22</t>
        </is>
      </c>
      <c r="B24" s="119" t="inlineStr">
        <is>
          <t>2</t>
        </is>
      </c>
      <c r="C24" s="119" t="inlineStr">
        <is>
          <t>30</t>
        </is>
      </c>
      <c r="D24" s="119" t="inlineStr">
        <is>
          <t>20</t>
        </is>
      </c>
      <c r="E24" s="119" t="inlineStr">
        <is>
          <t>ELB</t>
        </is>
      </c>
      <c r="F24" s="119" t="inlineStr">
        <is>
          <t>P1 (방화셔터1)</t>
        </is>
      </c>
      <c r="G24" s="107" t="inlineStr">
        <is>
          <t>사용자확인</t>
        </is>
      </c>
      <c r="H24" s="107" t="n"/>
    </row>
    <row r="25" ht="15" customHeight="1" s="78">
      <c r="A25" s="119" t="inlineStr">
        <is>
          <t>23</t>
        </is>
      </c>
      <c r="B25" s="119" t="inlineStr">
        <is>
          <t>2</t>
        </is>
      </c>
      <c r="C25" s="119" t="inlineStr">
        <is>
          <t>30</t>
        </is>
      </c>
      <c r="D25" s="119" t="inlineStr">
        <is>
          <t>20</t>
        </is>
      </c>
      <c r="E25" s="119" t="inlineStr">
        <is>
          <t>ELB</t>
        </is>
      </c>
      <c r="F25" s="119" t="inlineStr">
        <is>
          <t>P2 (방화셔터2)</t>
        </is>
      </c>
      <c r="G25" s="107" t="inlineStr">
        <is>
          <t>사용자확인</t>
        </is>
      </c>
      <c r="H25" s="107" t="n"/>
    </row>
    <row r="27" ht="14.25" customHeight="1" s="78">
      <c r="A27" s="116" t="inlineStr">
        <is>
          <t>PANEL BOARD "온수기전원반" — B1F  / FROM: LP-2M (PNL 분기)</t>
        </is>
      </c>
    </row>
    <row r="28" ht="15" customHeight="1" s="78">
      <c r="A28" s="117" t="inlineStr">
        <is>
          <t>CCT.NO</t>
        </is>
      </c>
      <c r="B28" s="117" t="inlineStr">
        <is>
          <t>POLE</t>
        </is>
      </c>
      <c r="C28" s="117" t="inlineStr">
        <is>
          <t>AF</t>
        </is>
      </c>
      <c r="D28" s="117" t="inlineStr">
        <is>
          <t>AT</t>
        </is>
      </c>
      <c r="E28" s="117" t="inlineStr">
        <is>
          <t>BREAKER</t>
        </is>
      </c>
      <c r="F28" s="80" t="inlineStr">
        <is>
          <t>부하명</t>
        </is>
      </c>
      <c r="G28" s="80" t="inlineStr">
        <is>
          <t>비고</t>
        </is>
      </c>
      <c r="H28" s="80" t="inlineStr">
        <is>
          <t>신뢰도</t>
        </is>
      </c>
    </row>
    <row r="29" ht="15" customHeight="1" s="78">
      <c r="A29" s="118" t="inlineStr">
        <is>
          <t>MAIN</t>
        </is>
      </c>
      <c r="B29" s="118" t="inlineStr">
        <is>
          <t>4</t>
        </is>
      </c>
      <c r="C29" s="118" t="inlineStr">
        <is>
          <t>50</t>
        </is>
      </c>
      <c r="D29" s="118" t="inlineStr">
        <is>
          <t>30</t>
        </is>
      </c>
      <c r="E29" s="118" t="inlineStr">
        <is>
          <t>MCCB</t>
        </is>
      </c>
      <c r="F29" s="118" t="inlineStr">
        <is>
          <t>MAIN</t>
        </is>
      </c>
      <c r="G29" s="118" t="n"/>
      <c r="H29" s="121" t="n"/>
    </row>
    <row r="30" ht="15" customHeight="1" s="78">
      <c r="A30" s="119" t="inlineStr">
        <is>
          <t>1</t>
        </is>
      </c>
      <c r="B30" s="119" t="inlineStr">
        <is>
          <t>2</t>
        </is>
      </c>
      <c r="C30" s="119" t="inlineStr">
        <is>
          <t>30</t>
        </is>
      </c>
      <c r="D30" s="119" t="inlineStr">
        <is>
          <t>20</t>
        </is>
      </c>
      <c r="E30" s="119" t="inlineStr">
        <is>
          <t>ELB</t>
        </is>
      </c>
      <c r="F30" s="119" t="inlineStr">
        <is>
          <t>P1 (온수펌프1)</t>
        </is>
      </c>
      <c r="G30" s="107" t="n"/>
      <c r="H30" s="121" t="n"/>
    </row>
    <row r="31" ht="15" customHeight="1" s="78">
      <c r="A31" s="119" t="inlineStr">
        <is>
          <t>2</t>
        </is>
      </c>
      <c r="B31" s="119" t="inlineStr">
        <is>
          <t>2</t>
        </is>
      </c>
      <c r="C31" s="119" t="inlineStr">
        <is>
          <t>30</t>
        </is>
      </c>
      <c r="D31" s="119" t="inlineStr">
        <is>
          <t>20</t>
        </is>
      </c>
      <c r="E31" s="119" t="inlineStr">
        <is>
          <t>ELB</t>
        </is>
      </c>
      <c r="F31" s="119" t="inlineStr">
        <is>
          <t>EW1 (전기온수기1)</t>
        </is>
      </c>
      <c r="G31" s="107" t="n"/>
      <c r="H31" s="121" t="n"/>
    </row>
    <row r="32" ht="15" customHeight="1" s="78">
      <c r="A32" s="119" t="inlineStr">
        <is>
          <t>3</t>
        </is>
      </c>
      <c r="B32" s="119" t="inlineStr">
        <is>
          <t>2</t>
        </is>
      </c>
      <c r="C32" s="119" t="inlineStr">
        <is>
          <t>30</t>
        </is>
      </c>
      <c r="D32" s="119" t="inlineStr">
        <is>
          <t>20</t>
        </is>
      </c>
      <c r="E32" s="119" t="inlineStr">
        <is>
          <t>ELB</t>
        </is>
      </c>
      <c r="F32" s="119" t="inlineStr">
        <is>
          <t>EW2 (전기온수기2)</t>
        </is>
      </c>
      <c r="G32" s="107" t="n"/>
      <c r="H32" s="121" t="n"/>
    </row>
    <row r="33" ht="15" customHeight="1" s="78">
      <c r="A33" s="119" t="inlineStr">
        <is>
          <t>4</t>
        </is>
      </c>
      <c r="B33" s="119" t="inlineStr">
        <is>
          <t>2</t>
        </is>
      </c>
      <c r="C33" s="119" t="inlineStr">
        <is>
          <t>30</t>
        </is>
      </c>
      <c r="D33" s="119" t="inlineStr">
        <is>
          <t>20</t>
        </is>
      </c>
      <c r="E33" s="119" t="inlineStr">
        <is>
          <t>ELB</t>
        </is>
      </c>
      <c r="F33" s="119" t="inlineStr">
        <is>
          <t>EW3 (전기온수기3)</t>
        </is>
      </c>
      <c r="G33" s="107" t="n"/>
      <c r="H33" s="121" t="n"/>
    </row>
    <row r="34" ht="15" customHeight="1" s="78">
      <c r="A34" s="119" t="inlineStr">
        <is>
          <t>5</t>
        </is>
      </c>
      <c r="B34" s="119" t="inlineStr">
        <is>
          <t>2</t>
        </is>
      </c>
      <c r="C34" s="119" t="inlineStr">
        <is>
          <t>30</t>
        </is>
      </c>
      <c r="D34" s="119" t="inlineStr">
        <is>
          <t>20</t>
        </is>
      </c>
      <c r="E34" s="119" t="inlineStr">
        <is>
          <t>ELB</t>
        </is>
      </c>
      <c r="F34" s="119" t="inlineStr">
        <is>
          <t>EW4 (전기온수기4)</t>
        </is>
      </c>
      <c r="G34" s="107" t="n"/>
      <c r="H34" s="121" t="n"/>
    </row>
    <row r="35" ht="15" customHeight="1" s="78">
      <c r="A35" s="119" t="inlineStr">
        <is>
          <t>6</t>
        </is>
      </c>
      <c r="B35" s="119" t="inlineStr">
        <is>
          <t>2</t>
        </is>
      </c>
      <c r="C35" s="119" t="inlineStr">
        <is>
          <t>30</t>
        </is>
      </c>
      <c r="D35" s="119" t="inlineStr">
        <is>
          <t>20</t>
        </is>
      </c>
      <c r="E35" s="119" t="inlineStr">
        <is>
          <t>ELB</t>
        </is>
      </c>
      <c r="F35" s="119" t="inlineStr">
        <is>
          <t>P2 (온수펌프2)</t>
        </is>
      </c>
      <c r="G35" s="107" t="n"/>
      <c r="H35" s="121" t="n"/>
    </row>
    <row r="36" ht="15" customHeight="1" s="78">
      <c r="A36" s="120" t="inlineStr">
        <is>
          <t>7</t>
        </is>
      </c>
      <c r="B36" s="120" t="inlineStr">
        <is>
          <t>1</t>
        </is>
      </c>
      <c r="C36" s="120" t="inlineStr">
        <is>
          <t>-</t>
        </is>
      </c>
      <c r="D36" s="120" t="inlineStr">
        <is>
          <t>-</t>
        </is>
      </c>
      <c r="E36" s="120" t="inlineStr">
        <is>
          <t>SPARE</t>
        </is>
      </c>
      <c r="F36" s="120" t="inlineStr">
        <is>
          <t>SPARE</t>
        </is>
      </c>
      <c r="G36" s="113" t="inlineStr">
        <is>
          <t>예비</t>
        </is>
      </c>
      <c r="H36" s="121" t="n"/>
    </row>
  </sheetData>
  <mergeCells count="2">
    <mergeCell ref="A27:H27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77" min="1" max="3"/>
    <col width="28" customWidth="1" style="77" min="4" max="4"/>
    <col width="12" customWidth="1" style="77" min="5" max="5"/>
    <col width="18" customWidth="1" style="77" min="6" max="6"/>
    <col width="8" customWidth="1" style="77" min="7" max="7"/>
    <col width="10" customWidth="1" style="77" min="8" max="10"/>
    <col width="18" customWidth="1" style="77" min="11" max="11"/>
    <col width="8" customWidth="1" style="77" min="12" max="12"/>
  </cols>
  <sheetData>
    <row r="1" ht="21.75" customHeight="1" s="78">
      <c r="A1" s="122" t="inlineStr">
        <is>
          <t>◆ 옥상 수배전반 간선 (5층 건물 / 층고 5,000mm 기준)</t>
        </is>
      </c>
    </row>
    <row r="2" ht="15" customHeight="1" s="78">
      <c r="A2" s="123" t="inlineStr">
        <is>
          <t>구분</t>
        </is>
      </c>
      <c r="B2" s="123" t="inlineStr">
        <is>
          <t>상도체</t>
        </is>
      </c>
      <c r="C2" s="123" t="inlineStr">
        <is>
          <t>규격</t>
        </is>
      </c>
      <c r="D2" s="123" t="inlineStr">
        <is>
          <t>수량</t>
        </is>
      </c>
      <c r="E2" s="123" t="inlineStr">
        <is>
          <t>수직거리(m)</t>
        </is>
      </c>
      <c r="F2" s="123" t="inlineStr">
        <is>
          <t>수평여유</t>
        </is>
      </c>
      <c r="G2" s="123" t="inlineStr">
        <is>
          <t>총길이(m)</t>
        </is>
      </c>
      <c r="H2" s="123" t="inlineStr">
        <is>
          <t>배관</t>
        </is>
      </c>
      <c r="I2" s="124" t="inlineStr">
        <is>
          <t>KEC</t>
        </is>
      </c>
      <c r="J2" s="123" t="inlineStr">
        <is>
          <t>비고</t>
        </is>
      </c>
      <c r="K2" s="123" t="n"/>
      <c r="L2" s="123" t="n"/>
    </row>
    <row r="3" ht="34.5" customHeight="1" s="78">
      <c r="A3" s="125" t="inlineStr">
        <is>
          <t>옥상→LP-1M (1F)</t>
        </is>
      </c>
      <c r="B3" s="126" t="inlineStr">
        <is>
          <t>4P</t>
        </is>
      </c>
      <c r="C3" s="126" t="inlineStr">
        <is>
          <t>F-CV 4C 95㎟ + F-GV 95㎟</t>
        </is>
      </c>
      <c r="D3" s="126" t="inlineStr">
        <is>
          <t>1식</t>
        </is>
      </c>
      <c r="E3" s="126" t="inlineStr">
        <is>
          <t>25.0</t>
        </is>
      </c>
      <c r="F3" s="126" t="inlineStr">
        <is>
          <t>×1.18</t>
        </is>
      </c>
      <c r="G3" s="126" t="inlineStr">
        <is>
          <t>30.7</t>
        </is>
      </c>
      <c r="H3" s="126" t="inlineStr">
        <is>
          <t>ST 36</t>
        </is>
      </c>
      <c r="I3" s="126" t="inlineStr">
        <is>
          <t>● 250A OK ●도면명기</t>
        </is>
      </c>
      <c r="J3" s="126" t="inlineStr">
        <is>
          <t>5층 PS 강하</t>
        </is>
      </c>
    </row>
    <row r="4" ht="34.5" customHeight="1" s="78">
      <c r="A4" s="125" t="inlineStr">
        <is>
          <t>옥상→LP-2M (2F)</t>
        </is>
      </c>
      <c r="B4" s="126" t="inlineStr">
        <is>
          <t>4P</t>
        </is>
      </c>
      <c r="C4" s="126" t="inlineStr">
        <is>
          <t>F-CV 4C 25㎟ + F-GV 25㎟</t>
        </is>
      </c>
      <c r="D4" s="126" t="inlineStr">
        <is>
          <t>1식</t>
        </is>
      </c>
      <c r="E4" s="126" t="inlineStr">
        <is>
          <t>20.0</t>
        </is>
      </c>
      <c r="F4" s="126" t="inlineStr">
        <is>
          <t>×1.18</t>
        </is>
      </c>
      <c r="G4" s="126" t="inlineStr">
        <is>
          <t>24.8</t>
        </is>
      </c>
      <c r="H4" s="126" t="inlineStr">
        <is>
          <t>ST 28</t>
        </is>
      </c>
      <c r="I4" s="126" t="inlineStr">
        <is>
          <t>● 75A OK ●도면명기</t>
        </is>
      </c>
      <c r="J4" s="126" t="inlineStr">
        <is>
          <t>4층 PS 강하</t>
        </is>
      </c>
    </row>
    <row r="5" ht="34.5" customHeight="1" s="78">
      <c r="A5" s="126" t="inlineStr">
        <is>
          <t>LP-1M→LP-E</t>
        </is>
      </c>
      <c r="B5" s="126" t="inlineStr">
        <is>
          <t>4P</t>
        </is>
      </c>
      <c r="C5" s="126" t="inlineStr">
        <is>
          <t>F-CV 4C 10㎟ + F-GV 10㎟</t>
        </is>
      </c>
      <c r="D5" s="126" t="inlineStr">
        <is>
          <t>1식</t>
        </is>
      </c>
      <c r="E5" s="126" t="inlineStr">
        <is>
          <t>0.5</t>
        </is>
      </c>
      <c r="F5" s="126" t="inlineStr">
        <is>
          <t>×1.30</t>
        </is>
      </c>
      <c r="G5" s="126" t="inlineStr">
        <is>
          <t>1.3</t>
        </is>
      </c>
      <c r="H5" s="126" t="inlineStr">
        <is>
          <t>ST 28</t>
        </is>
      </c>
      <c r="I5" s="126" t="inlineStr">
        <is>
          <t>● 50A OK ●도면명기</t>
        </is>
      </c>
      <c r="J5" s="125" t="inlineStr">
        <is>
          <t>동일 1F PNL 분기</t>
        </is>
      </c>
    </row>
    <row r="6" ht="34.5" customHeight="1" s="78">
      <c r="A6" s="126" t="inlineStr">
        <is>
          <t>LP-2M→온수기반(B1F)</t>
        </is>
      </c>
      <c r="B6" s="126" t="inlineStr">
        <is>
          <t>4P</t>
        </is>
      </c>
      <c r="C6" s="126" t="inlineStr">
        <is>
          <t>F-CV 4C 6㎟ + E 6㎟</t>
        </is>
      </c>
      <c r="D6" s="126" t="inlineStr">
        <is>
          <t>1식</t>
        </is>
      </c>
      <c r="E6" s="126" t="inlineStr">
        <is>
          <t>15.0</t>
        </is>
      </c>
      <c r="F6" s="126" t="inlineStr">
        <is>
          <t>×1.18</t>
        </is>
      </c>
      <c r="G6" s="126" t="inlineStr">
        <is>
          <t>23.6</t>
        </is>
      </c>
      <c r="H6" s="126" t="inlineStr">
        <is>
          <t>ST 36</t>
        </is>
      </c>
      <c r="I6" s="126" t="inlineStr">
        <is>
          <t>● 30A OK ●도면명기</t>
        </is>
      </c>
      <c r="J6" s="127" t="inlineStr">
        <is>
          <t>2F→B1F 강하 (3개층)</t>
        </is>
      </c>
    </row>
    <row r="8" ht="15" customHeight="1" s="78">
      <c r="A8" s="128" t="inlineStr">
        <is>
          <t>LP-1M (1F 매장 메인) — MAIN 4P 250AT MCCB / FROM 옥상 수배전반</t>
        </is>
      </c>
    </row>
    <row r="9" ht="15" customHeight="1" s="78">
      <c r="A9" s="129" t="inlineStr">
        <is>
          <t>CCT</t>
        </is>
      </c>
      <c r="B9" s="129" t="inlineStr">
        <is>
          <t>POLE</t>
        </is>
      </c>
      <c r="C9" s="129" t="inlineStr">
        <is>
          <t>AT</t>
        </is>
      </c>
      <c r="D9" s="130" t="inlineStr">
        <is>
          <t>부하명</t>
        </is>
      </c>
      <c r="E9" s="130" t="inlineStr">
        <is>
          <t>부하분류</t>
        </is>
      </c>
      <c r="F9" s="130" t="inlineStr">
        <is>
          <t>전선규격</t>
        </is>
      </c>
      <c r="G9" s="130" t="inlineStr">
        <is>
          <t>가닥수</t>
        </is>
      </c>
      <c r="H9" s="130" t="inlineStr">
        <is>
          <t>배관규격</t>
        </is>
      </c>
      <c r="I9" s="130" t="inlineStr">
        <is>
          <t>배관유형</t>
        </is>
      </c>
      <c r="J9" s="129" t="inlineStr">
        <is>
          <t>KEC검증</t>
        </is>
      </c>
      <c r="K9" s="130" t="inlineStr">
        <is>
          <t>비고</t>
        </is>
      </c>
      <c r="L9" s="130" t="inlineStr">
        <is>
          <t>신뢰도</t>
        </is>
      </c>
    </row>
    <row r="10" ht="15" customHeight="1" s="78">
      <c r="A10" s="77" t="inlineStr">
        <is>
          <t>MAIN</t>
        </is>
      </c>
      <c r="B10" s="77" t="inlineStr">
        <is>
          <t>4</t>
        </is>
      </c>
      <c r="C10" s="77" t="inlineStr">
        <is>
          <t>250</t>
        </is>
      </c>
      <c r="D10" s="77" t="inlineStr">
        <is>
          <t>MAIN</t>
        </is>
      </c>
      <c r="E10" s="101" t="inlineStr">
        <is>
          <t>간선</t>
        </is>
      </c>
      <c r="F10" s="77" t="inlineStr">
        <is>
          <t>F-CV 16㎟ 4C</t>
        </is>
      </c>
      <c r="G10" s="77" t="inlineStr">
        <is>
          <t>4C</t>
        </is>
      </c>
      <c r="H10" s="77" t="inlineStr">
        <is>
          <t>ST 28</t>
        </is>
      </c>
      <c r="I10" s="77" t="inlineStr">
        <is>
          <t>ST</t>
        </is>
      </c>
      <c r="J10" s="101" t="inlineStr">
        <is>
          <t>● 도체 OK</t>
        </is>
      </c>
      <c r="K10" s="101" t="inlineStr">
        <is>
          <t>간선</t>
        </is>
      </c>
      <c r="L10" s="77" t="inlineStr">
        <is>
          <t>●</t>
        </is>
      </c>
    </row>
    <row r="11" ht="15" customHeight="1" s="78">
      <c r="A11" s="77" t="inlineStr">
        <is>
          <t>1</t>
        </is>
      </c>
      <c r="B11" s="77" t="inlineStr">
        <is>
          <t>4</t>
        </is>
      </c>
      <c r="C11" s="77" t="inlineStr">
        <is>
          <t>30</t>
        </is>
      </c>
      <c r="D11" s="77" t="inlineStr">
        <is>
          <t>PNL → LP-E</t>
        </is>
      </c>
      <c r="E11" s="101" t="inlineStr">
        <is>
          <t>간선분기</t>
        </is>
      </c>
      <c r="F11" s="77" t="inlineStr">
        <is>
          <t>F-CV 16㎟ 4C</t>
        </is>
      </c>
      <c r="G11" s="77" t="inlineStr">
        <is>
          <t>4C</t>
        </is>
      </c>
      <c r="H11" s="77" t="inlineStr">
        <is>
          <t>ST 28</t>
        </is>
      </c>
      <c r="I11" s="77" t="inlineStr">
        <is>
          <t>ST</t>
        </is>
      </c>
      <c r="J11" s="101" t="inlineStr">
        <is>
          <t>● 도체 OK</t>
        </is>
      </c>
      <c r="K11" s="101" t="inlineStr">
        <is>
          <t>간선</t>
        </is>
      </c>
      <c r="L11" s="77" t="inlineStr">
        <is>
          <t>●</t>
        </is>
      </c>
    </row>
    <row r="12" ht="15" customHeight="1" s="78">
      <c r="A12" s="77" t="inlineStr">
        <is>
          <t>2</t>
        </is>
      </c>
      <c r="B12" s="77" t="inlineStr">
        <is>
          <t>4</t>
        </is>
      </c>
      <c r="C12" s="77" t="inlineStr">
        <is>
          <t>50</t>
        </is>
      </c>
      <c r="D12" s="77" t="inlineStr">
        <is>
          <t>OAC-1 (실외기1)</t>
        </is>
      </c>
      <c r="E12" s="101" t="inlineStr">
        <is>
          <t>동력</t>
        </is>
      </c>
      <c r="F12" s="77" t="inlineStr">
        <is>
          <t>HFIX 6㎟ 4C</t>
        </is>
      </c>
      <c r="G12" s="77" t="inlineStr">
        <is>
          <t>4C</t>
        </is>
      </c>
      <c r="H12" s="77" t="inlineStr">
        <is>
          <t>ST 22</t>
        </is>
      </c>
      <c r="I12" s="77" t="inlineStr">
        <is>
          <t>ST</t>
        </is>
      </c>
      <c r="J12" s="77" t="inlineStr">
        <is>
          <t>● ≥2.5㎟</t>
        </is>
      </c>
      <c r="K12" s="77" t="inlineStr">
        <is>
          <t>OAC-1 3상</t>
        </is>
      </c>
      <c r="L12" s="77" t="inlineStr">
        <is>
          <t>●</t>
        </is>
      </c>
    </row>
    <row r="13" ht="15" customHeight="1" s="78">
      <c r="A13" s="77" t="inlineStr">
        <is>
          <t>3</t>
        </is>
      </c>
      <c r="B13" s="77" t="inlineStr">
        <is>
          <t>4</t>
        </is>
      </c>
      <c r="C13" s="77" t="inlineStr">
        <is>
          <t>50</t>
        </is>
      </c>
      <c r="D13" s="77" t="inlineStr">
        <is>
          <t>SPARE</t>
        </is>
      </c>
      <c r="E13" s="101" t="inlineStr">
        <is>
          <t>예비</t>
        </is>
      </c>
      <c r="F13" s="77" t="inlineStr">
        <is>
          <t>-</t>
        </is>
      </c>
      <c r="G13" s="77" t="inlineStr">
        <is>
          <t>4C</t>
        </is>
      </c>
      <c r="H13" s="77" t="inlineStr">
        <is>
          <t>-</t>
        </is>
      </c>
      <c r="I13" s="77" t="inlineStr">
        <is>
          <t>ST</t>
        </is>
      </c>
      <c r="J13" s="77" t="inlineStr">
        <is>
          <t>-</t>
        </is>
      </c>
      <c r="K13" s="101" t="inlineStr">
        <is>
          <t>예비 (산출제외)</t>
        </is>
      </c>
      <c r="L13" s="77" t="inlineStr">
        <is>
          <t>-</t>
        </is>
      </c>
    </row>
    <row r="14" ht="15" customHeight="1" s="78">
      <c r="A14" s="77" t="inlineStr">
        <is>
          <t>4</t>
        </is>
      </c>
      <c r="B14" s="77" t="inlineStr">
        <is>
          <t>4</t>
        </is>
      </c>
      <c r="C14" s="77" t="inlineStr">
        <is>
          <t>50</t>
        </is>
      </c>
      <c r="D14" s="77" t="inlineStr">
        <is>
          <t>EF-2 (배기휀 7.5kW (인버터))</t>
        </is>
      </c>
      <c r="E14" s="101" t="inlineStr">
        <is>
          <t>동력</t>
        </is>
      </c>
      <c r="F14" s="77" t="inlineStr">
        <is>
          <t>HFIX 6㎟ 4C</t>
        </is>
      </c>
      <c r="G14" s="77" t="inlineStr">
        <is>
          <t>4C</t>
        </is>
      </c>
      <c r="H14" s="77" t="inlineStr">
        <is>
          <t>ST 22</t>
        </is>
      </c>
      <c r="I14" s="77" t="inlineStr">
        <is>
          <t>ST</t>
        </is>
      </c>
      <c r="J14" s="77" t="inlineStr">
        <is>
          <t>● ≥2.5㎟</t>
        </is>
      </c>
      <c r="K14" s="77" t="inlineStr">
        <is>
          <t>EF-2 3상</t>
        </is>
      </c>
      <c r="L14" s="77" t="inlineStr">
        <is>
          <t>●</t>
        </is>
      </c>
    </row>
    <row r="15" ht="15" customHeight="1" s="78">
      <c r="A15" s="77" t="inlineStr">
        <is>
          <t>5</t>
        </is>
      </c>
      <c r="B15" s="77" t="inlineStr">
        <is>
          <t>4</t>
        </is>
      </c>
      <c r="C15" s="77" t="inlineStr">
        <is>
          <t>20</t>
        </is>
      </c>
      <c r="D15" s="77" t="inlineStr">
        <is>
          <t>CDU-1 (CONDENSING UNIT-FOOD REFRIGERATION)</t>
        </is>
      </c>
      <c r="E15" s="101" t="inlineStr">
        <is>
          <t>동력</t>
        </is>
      </c>
      <c r="F15" s="77" t="inlineStr">
        <is>
          <t>HFIX 6㎟ 4C</t>
        </is>
      </c>
      <c r="G15" s="77" t="inlineStr">
        <is>
          <t>4C</t>
        </is>
      </c>
      <c r="H15" s="77" t="inlineStr">
        <is>
          <t>ST 22</t>
        </is>
      </c>
      <c r="I15" s="77" t="inlineStr">
        <is>
          <t>ST</t>
        </is>
      </c>
      <c r="J15" s="77" t="inlineStr">
        <is>
          <t>● ≥2.5㎟</t>
        </is>
      </c>
      <c r="K15" s="77" t="inlineStr">
        <is>
          <t>CDU-1 3상</t>
        </is>
      </c>
      <c r="L15" s="77" t="inlineStr">
        <is>
          <t>●</t>
        </is>
      </c>
    </row>
    <row r="16" ht="23.25" customHeight="1" s="78">
      <c r="A16" s="77" t="inlineStr">
        <is>
          <t>6</t>
        </is>
      </c>
      <c r="B16" s="77" t="inlineStr">
        <is>
          <t>4</t>
        </is>
      </c>
      <c r="C16" s="77" t="inlineStr">
        <is>
          <t>40</t>
        </is>
      </c>
      <c r="D16" s="77" t="inlineStr">
        <is>
          <t>K17 (DISH WASHER)</t>
        </is>
      </c>
      <c r="E16" s="101" t="inlineStr">
        <is>
          <t>동력</t>
        </is>
      </c>
      <c r="F16" s="77" t="inlineStr">
        <is>
          <t>F-CV 6㎟ 4C</t>
        </is>
      </c>
      <c r="G16" s="77" t="inlineStr">
        <is>
          <t>4C</t>
        </is>
      </c>
      <c r="H16" s="77" t="inlineStr">
        <is>
          <t>ST 36</t>
        </is>
      </c>
      <c r="I16" s="77" t="inlineStr">
        <is>
          <t>ST</t>
        </is>
      </c>
      <c r="J16" s="77" t="inlineStr">
        <is>
          <t>● 3Φ380V 12.9kW</t>
        </is>
      </c>
      <c r="K16" s="77" t="inlineStr">
        <is>
          <t>DISH WASHER</t>
        </is>
      </c>
      <c r="L16" s="77" t="inlineStr">
        <is>
          <t>●</t>
        </is>
      </c>
    </row>
    <row r="17" ht="15" customHeight="1" s="78">
      <c r="A17" s="77" t="inlineStr">
        <is>
          <t>7</t>
        </is>
      </c>
      <c r="B17" s="77" t="inlineStr">
        <is>
          <t>2</t>
        </is>
      </c>
      <c r="C17" s="77" t="inlineStr">
        <is>
          <t>20</t>
        </is>
      </c>
      <c r="D17" s="77" t="inlineStr">
        <is>
          <t>A1 (실외기전원)</t>
        </is>
      </c>
      <c r="E17" s="101" t="inlineStr">
        <is>
          <t>동력</t>
        </is>
      </c>
      <c r="F17" s="77" t="inlineStr">
        <is>
          <t>HFIX 4㎟ 3C</t>
        </is>
      </c>
      <c r="G17" s="77" t="inlineStr">
        <is>
          <t>3C</t>
        </is>
      </c>
      <c r="H17" s="77" t="inlineStr">
        <is>
          <t>ST 22</t>
        </is>
      </c>
      <c r="I17" s="77" t="inlineStr">
        <is>
          <t>ST</t>
        </is>
      </c>
      <c r="J17" s="77" t="inlineStr">
        <is>
          <t>● ≥2.5㎟</t>
        </is>
      </c>
      <c r="K17" s="101" t="inlineStr">
        <is>
          <t>실내기</t>
        </is>
      </c>
      <c r="L17" s="77" t="inlineStr">
        <is>
          <t>●</t>
        </is>
      </c>
    </row>
    <row r="18" ht="23.25" customHeight="1" s="78">
      <c r="A18" s="77" t="inlineStr">
        <is>
          <t>8</t>
        </is>
      </c>
      <c r="B18" s="77" t="inlineStr">
        <is>
          <t>2</t>
        </is>
      </c>
      <c r="C18" s="77" t="inlineStr">
        <is>
          <t>20</t>
        </is>
      </c>
      <c r="D18" s="77" t="inlineStr">
        <is>
          <t>K1 (TEMP COOLER)</t>
        </is>
      </c>
      <c r="E18" s="101" t="inlineStr">
        <is>
          <t>주방기기</t>
        </is>
      </c>
      <c r="F18" s="77" t="inlineStr">
        <is>
          <t>F-CV 4㎟ 3C</t>
        </is>
      </c>
      <c r="G18" s="77" t="inlineStr">
        <is>
          <t>3C</t>
        </is>
      </c>
      <c r="H18" s="77" t="inlineStr">
        <is>
          <t>ST 28</t>
        </is>
      </c>
      <c r="I18" s="77" t="inlineStr">
        <is>
          <t>ST</t>
        </is>
      </c>
      <c r="J18" s="101" t="inlineStr">
        <is>
          <t>● 도면명기 (E-104)</t>
        </is>
      </c>
      <c r="K18" s="101" t="inlineStr">
        <is>
          <t>주방기기 1Φ</t>
        </is>
      </c>
      <c r="L18" s="77" t="inlineStr">
        <is>
          <t>●</t>
        </is>
      </c>
    </row>
    <row r="19" ht="23.25" customHeight="1" s="78">
      <c r="A19" s="77" t="inlineStr">
        <is>
          <t>9</t>
        </is>
      </c>
      <c r="B19" s="77" t="inlineStr">
        <is>
          <t>2</t>
        </is>
      </c>
      <c r="C19" s="77" t="inlineStr">
        <is>
          <t>20</t>
        </is>
      </c>
      <c r="D19" s="77" t="inlineStr">
        <is>
          <t>K3 (CRESCENT ICE MACHINE)</t>
        </is>
      </c>
      <c r="E19" s="101" t="inlineStr">
        <is>
          <t>주방기기</t>
        </is>
      </c>
      <c r="F19" s="77" t="inlineStr">
        <is>
          <t>F-CV 4㎟ 3C</t>
        </is>
      </c>
      <c r="G19" s="77" t="inlineStr">
        <is>
          <t>3C</t>
        </is>
      </c>
      <c r="H19" s="77" t="inlineStr">
        <is>
          <t>ST 28</t>
        </is>
      </c>
      <c r="I19" s="77" t="inlineStr">
        <is>
          <t>ST</t>
        </is>
      </c>
      <c r="J19" s="101" t="inlineStr">
        <is>
          <t>● 도면명기 (E-104)</t>
        </is>
      </c>
      <c r="K19" s="101" t="inlineStr">
        <is>
          <t>주방기기 1Φ</t>
        </is>
      </c>
      <c r="L19" s="77" t="inlineStr">
        <is>
          <t>●</t>
        </is>
      </c>
    </row>
    <row r="20" ht="23.25" customHeight="1" s="78">
      <c r="A20" s="77" t="inlineStr">
        <is>
          <t>10</t>
        </is>
      </c>
      <c r="B20" s="77" t="inlineStr">
        <is>
          <t>2</t>
        </is>
      </c>
      <c r="C20" s="77" t="inlineStr">
        <is>
          <t>20</t>
        </is>
      </c>
      <c r="D20" s="77" t="inlineStr">
        <is>
          <t>K5 (CHEF BASE/GAS GRIDDLE × 3)</t>
        </is>
      </c>
      <c r="E20" s="101" t="inlineStr">
        <is>
          <t>주방기기</t>
        </is>
      </c>
      <c r="F20" s="77" t="inlineStr">
        <is>
          <t>F-CV 4㎟ 3C</t>
        </is>
      </c>
      <c r="G20" s="77" t="inlineStr">
        <is>
          <t>3C</t>
        </is>
      </c>
      <c r="H20" s="77" t="inlineStr">
        <is>
          <t>ST 28</t>
        </is>
      </c>
      <c r="I20" s="77" t="inlineStr">
        <is>
          <t>ST</t>
        </is>
      </c>
      <c r="J20" s="101" t="inlineStr">
        <is>
          <t>● 도면명기 (E-104)</t>
        </is>
      </c>
      <c r="K20" s="101" t="inlineStr">
        <is>
          <t>주방기기 1Φ</t>
        </is>
      </c>
      <c r="L20" s="77" t="inlineStr">
        <is>
          <t>●</t>
        </is>
      </c>
    </row>
    <row r="21" ht="23.25" customHeight="1" s="78">
      <c r="A21" s="77" t="inlineStr">
        <is>
          <t>11</t>
        </is>
      </c>
      <c r="B21" s="77" t="inlineStr">
        <is>
          <t>2</t>
        </is>
      </c>
      <c r="C21" s="77" t="inlineStr">
        <is>
          <t>20</t>
        </is>
      </c>
      <c r="D21" s="77" t="inlineStr">
        <is>
          <t>K7 (중탕기)</t>
        </is>
      </c>
      <c r="E21" s="101" t="inlineStr">
        <is>
          <t>주방기기</t>
        </is>
      </c>
      <c r="F21" s="77" t="inlineStr">
        <is>
          <t>F-CV 4㎟ 3C</t>
        </is>
      </c>
      <c r="G21" s="77" t="inlineStr">
        <is>
          <t>3C</t>
        </is>
      </c>
      <c r="H21" s="77" t="inlineStr">
        <is>
          <t>ST 28</t>
        </is>
      </c>
      <c r="I21" s="77" t="inlineStr">
        <is>
          <t>ST</t>
        </is>
      </c>
      <c r="J21" s="101" t="inlineStr">
        <is>
          <t>● 도면명기 (E-104)</t>
        </is>
      </c>
      <c r="K21" s="101" t="inlineStr">
        <is>
          <t>주방기기 1Φ</t>
        </is>
      </c>
      <c r="L21" s="77" t="inlineStr">
        <is>
          <t>●</t>
        </is>
      </c>
    </row>
    <row r="22" ht="23.25" customHeight="1" s="78">
      <c r="A22" s="77" t="inlineStr">
        <is>
          <t>12</t>
        </is>
      </c>
      <c r="B22" s="77" t="inlineStr">
        <is>
          <t>2</t>
        </is>
      </c>
      <c r="C22" s="77" t="inlineStr">
        <is>
          <t>20</t>
        </is>
      </c>
      <c r="D22" s="77" t="inlineStr">
        <is>
          <t>K9 (GRAVITY SHAKE FREEZER)</t>
        </is>
      </c>
      <c r="E22" s="101" t="inlineStr">
        <is>
          <t>주방기기</t>
        </is>
      </c>
      <c r="F22" s="77" t="inlineStr">
        <is>
          <t>F-CV 4㎟ 3C</t>
        </is>
      </c>
      <c r="G22" s="77" t="inlineStr">
        <is>
          <t>3C</t>
        </is>
      </c>
      <c r="H22" s="77" t="inlineStr">
        <is>
          <t>ST 28</t>
        </is>
      </c>
      <c r="I22" s="77" t="inlineStr">
        <is>
          <t>ST</t>
        </is>
      </c>
      <c r="J22" s="101" t="inlineStr">
        <is>
          <t>● 도면명기 (E-104)</t>
        </is>
      </c>
      <c r="K22" s="101" t="inlineStr">
        <is>
          <t>주방기기 1Φ</t>
        </is>
      </c>
      <c r="L22" s="77" t="inlineStr">
        <is>
          <t>●</t>
        </is>
      </c>
    </row>
    <row r="23" ht="23.25" customHeight="1" s="78">
      <c r="A23" s="77" t="inlineStr">
        <is>
          <t>13</t>
        </is>
      </c>
      <c r="B23" s="77" t="inlineStr">
        <is>
          <t>2</t>
        </is>
      </c>
      <c r="C23" s="77" t="inlineStr">
        <is>
          <t>20</t>
        </is>
      </c>
      <c r="D23" s="77" t="inlineStr">
        <is>
          <t>K11 (BEER COOLER)</t>
        </is>
      </c>
      <c r="E23" s="101" t="inlineStr">
        <is>
          <t>주방기기</t>
        </is>
      </c>
      <c r="F23" s="77" t="inlineStr">
        <is>
          <t>F-CV 4㎟ 3C</t>
        </is>
      </c>
      <c r="G23" s="77" t="inlineStr">
        <is>
          <t>3C</t>
        </is>
      </c>
      <c r="H23" s="77" t="inlineStr">
        <is>
          <t>ST 28</t>
        </is>
      </c>
      <c r="I23" s="77" t="inlineStr">
        <is>
          <t>ST</t>
        </is>
      </c>
      <c r="J23" s="101" t="inlineStr">
        <is>
          <t>● 도면명기 (E-104)</t>
        </is>
      </c>
      <c r="K23" s="101" t="inlineStr">
        <is>
          <t>주방기기 1Φ</t>
        </is>
      </c>
      <c r="L23" s="77" t="inlineStr">
        <is>
          <t>●</t>
        </is>
      </c>
    </row>
    <row r="24" ht="23.25" customHeight="1" s="78">
      <c r="A24" s="77" t="inlineStr">
        <is>
          <t>14</t>
        </is>
      </c>
      <c r="B24" s="77" t="inlineStr">
        <is>
          <t>2</t>
        </is>
      </c>
      <c r="C24" s="77" t="inlineStr">
        <is>
          <t>20</t>
        </is>
      </c>
      <c r="D24" s="77" t="inlineStr">
        <is>
          <t>K13 (ICE CUBE)</t>
        </is>
      </c>
      <c r="E24" s="101" t="inlineStr">
        <is>
          <t>주방기기</t>
        </is>
      </c>
      <c r="F24" s="77" t="inlineStr">
        <is>
          <t>F-CV 4㎟ 3C</t>
        </is>
      </c>
      <c r="G24" s="77" t="inlineStr">
        <is>
          <t>3C</t>
        </is>
      </c>
      <c r="H24" s="77" t="inlineStr">
        <is>
          <t>ST 28</t>
        </is>
      </c>
      <c r="I24" s="77" t="inlineStr">
        <is>
          <t>ST</t>
        </is>
      </c>
      <c r="J24" s="101" t="inlineStr">
        <is>
          <t>● 도면명기 (E-104)</t>
        </is>
      </c>
      <c r="K24" s="101" t="inlineStr">
        <is>
          <t>주방기기 1Φ</t>
        </is>
      </c>
      <c r="L24" s="77" t="inlineStr">
        <is>
          <t>●</t>
        </is>
      </c>
    </row>
    <row r="25" ht="23.25" customHeight="1" s="78">
      <c r="A25" s="77" t="inlineStr">
        <is>
          <t>15</t>
        </is>
      </c>
      <c r="B25" s="77" t="inlineStr">
        <is>
          <t>2</t>
        </is>
      </c>
      <c r="C25" s="77" t="inlineStr">
        <is>
          <t>20</t>
        </is>
      </c>
      <c r="D25" s="77" t="inlineStr">
        <is>
          <t>K15 (ICE CUBE)</t>
        </is>
      </c>
      <c r="E25" s="101" t="inlineStr">
        <is>
          <t>주방기기</t>
        </is>
      </c>
      <c r="F25" s="77" t="inlineStr">
        <is>
          <t>F-CV 4㎟ 3C</t>
        </is>
      </c>
      <c r="G25" s="77" t="inlineStr">
        <is>
          <t>3C</t>
        </is>
      </c>
      <c r="H25" s="77" t="inlineStr">
        <is>
          <t>ST 28</t>
        </is>
      </c>
      <c r="I25" s="77" t="inlineStr">
        <is>
          <t>ST</t>
        </is>
      </c>
      <c r="J25" s="101" t="inlineStr">
        <is>
          <t>● 도면명기 (E-104)</t>
        </is>
      </c>
      <c r="K25" s="101" t="inlineStr">
        <is>
          <t>주방기기 1Φ</t>
        </is>
      </c>
      <c r="L25" s="77" t="inlineStr">
        <is>
          <t>●</t>
        </is>
      </c>
    </row>
    <row r="26" ht="23.25" customHeight="1" s="78">
      <c r="A26" s="77" t="inlineStr">
        <is>
          <t>16</t>
        </is>
      </c>
      <c r="B26" s="77" t="inlineStr">
        <is>
          <t>2</t>
        </is>
      </c>
      <c r="C26" s="77" t="inlineStr">
        <is>
          <t>20</t>
        </is>
      </c>
      <c r="D26" s="77" t="inlineStr">
        <is>
          <t>R1 (매니저룸)</t>
        </is>
      </c>
      <c r="E26" s="101" t="inlineStr">
        <is>
          <t>전열</t>
        </is>
      </c>
      <c r="F26" s="77" t="inlineStr">
        <is>
          <t>HFIX 4㎟ 3C</t>
        </is>
      </c>
      <c r="G26" s="77" t="inlineStr">
        <is>
          <t>3C</t>
        </is>
      </c>
      <c r="H26" s="77" t="inlineStr">
        <is>
          <t>ST 22</t>
        </is>
      </c>
      <c r="I26" s="77" t="inlineStr">
        <is>
          <t>ST</t>
        </is>
      </c>
      <c r="J26" s="77" t="inlineStr">
        <is>
          <t>● ≥2.5㎟ +ELB</t>
        </is>
      </c>
      <c r="K26" s="101" t="inlineStr">
        <is>
          <t>전열</t>
        </is>
      </c>
      <c r="L26" s="77" t="inlineStr">
        <is>
          <t>●</t>
        </is>
      </c>
    </row>
    <row r="27" ht="23.25" customHeight="1" s="78">
      <c r="A27" s="77" t="inlineStr">
        <is>
          <t>17</t>
        </is>
      </c>
      <c r="B27" s="77" t="inlineStr">
        <is>
          <t>2</t>
        </is>
      </c>
      <c r="C27" s="77" t="inlineStr">
        <is>
          <t>20</t>
        </is>
      </c>
      <c r="D27" s="77" t="inlineStr">
        <is>
          <t>R3 (포장등/캐쉬어)</t>
        </is>
      </c>
      <c r="E27" s="101" t="inlineStr">
        <is>
          <t>전열</t>
        </is>
      </c>
      <c r="F27" s="77" t="inlineStr">
        <is>
          <t>HFIX 4㎟ 3C</t>
        </is>
      </c>
      <c r="G27" s="77" t="inlineStr">
        <is>
          <t>3C</t>
        </is>
      </c>
      <c r="H27" s="77" t="inlineStr">
        <is>
          <t>ST 22</t>
        </is>
      </c>
      <c r="I27" s="77" t="inlineStr">
        <is>
          <t>ST</t>
        </is>
      </c>
      <c r="J27" s="77" t="inlineStr">
        <is>
          <t>● ≥2.5㎟ +ELB</t>
        </is>
      </c>
      <c r="K27" s="101" t="inlineStr">
        <is>
          <t>전열</t>
        </is>
      </c>
      <c r="L27" s="77" t="inlineStr">
        <is>
          <t>●</t>
        </is>
      </c>
    </row>
    <row r="28" ht="23.25" customHeight="1" s="78">
      <c r="A28" s="77" t="inlineStr">
        <is>
          <t>18</t>
        </is>
      </c>
      <c r="B28" s="77" t="inlineStr">
        <is>
          <t>2</t>
        </is>
      </c>
      <c r="C28" s="77" t="inlineStr">
        <is>
          <t>20</t>
        </is>
      </c>
      <c r="D28" s="77" t="inlineStr">
        <is>
          <t>R5 (POS)</t>
        </is>
      </c>
      <c r="E28" s="101" t="inlineStr">
        <is>
          <t>전열</t>
        </is>
      </c>
      <c r="F28" s="77" t="inlineStr">
        <is>
          <t>HFIX 4㎟ 3C</t>
        </is>
      </c>
      <c r="G28" s="77" t="inlineStr">
        <is>
          <t>3C</t>
        </is>
      </c>
      <c r="H28" s="77" t="inlineStr">
        <is>
          <t>ST 22</t>
        </is>
      </c>
      <c r="I28" s="77" t="inlineStr">
        <is>
          <t>ST</t>
        </is>
      </c>
      <c r="J28" s="77" t="inlineStr">
        <is>
          <t>● ≥2.5㎟ +ELB</t>
        </is>
      </c>
      <c r="K28" s="101" t="inlineStr">
        <is>
          <t>전열</t>
        </is>
      </c>
      <c r="L28" s="77" t="inlineStr">
        <is>
          <t>●</t>
        </is>
      </c>
    </row>
    <row r="29" ht="23.25" customHeight="1" s="78">
      <c r="A29" s="77" t="inlineStr">
        <is>
          <t>19</t>
        </is>
      </c>
      <c r="B29" s="77" t="inlineStr">
        <is>
          <t>2</t>
        </is>
      </c>
      <c r="C29" s="77" t="inlineStr">
        <is>
          <t>20</t>
        </is>
      </c>
      <c r="D29" s="77" t="inlineStr">
        <is>
          <t>R7 (키오스크)</t>
        </is>
      </c>
      <c r="E29" s="101" t="inlineStr">
        <is>
          <t>전열</t>
        </is>
      </c>
      <c r="F29" s="77" t="inlineStr">
        <is>
          <t>HFIX 4㎟ 3C</t>
        </is>
      </c>
      <c r="G29" s="77" t="inlineStr">
        <is>
          <t>3C</t>
        </is>
      </c>
      <c r="H29" s="77" t="inlineStr">
        <is>
          <t>ST 22</t>
        </is>
      </c>
      <c r="I29" s="77" t="inlineStr">
        <is>
          <t>ST</t>
        </is>
      </c>
      <c r="J29" s="77" t="inlineStr">
        <is>
          <t>● ≥2.5㎟ +ELB</t>
        </is>
      </c>
      <c r="K29" s="101" t="inlineStr">
        <is>
          <t>전열</t>
        </is>
      </c>
      <c r="L29" s="77" t="inlineStr">
        <is>
          <t>●</t>
        </is>
      </c>
    </row>
    <row r="30" ht="23.25" customHeight="1" s="78">
      <c r="A30" s="77" t="inlineStr">
        <is>
          <t>20</t>
        </is>
      </c>
      <c r="B30" s="77" t="inlineStr">
        <is>
          <t>2</t>
        </is>
      </c>
      <c r="C30" s="77" t="inlineStr">
        <is>
          <t>20</t>
        </is>
      </c>
      <c r="D30" s="77" t="inlineStr">
        <is>
          <t>L1 (LIGHTING)</t>
        </is>
      </c>
      <c r="E30" s="101" t="inlineStr">
        <is>
          <t>조명</t>
        </is>
      </c>
      <c r="F30" s="77" t="inlineStr">
        <is>
          <t>HFIX 2.5㎟ 3C</t>
        </is>
      </c>
      <c r="G30" s="77" t="inlineStr">
        <is>
          <t>3C</t>
        </is>
      </c>
      <c r="H30" s="77" t="inlineStr">
        <is>
          <t>ST 16</t>
        </is>
      </c>
      <c r="I30" s="77" t="inlineStr">
        <is>
          <t>ST</t>
        </is>
      </c>
      <c r="J30" s="77" t="inlineStr">
        <is>
          <t>● ≥1.5㎟</t>
        </is>
      </c>
      <c r="K30" s="101" t="inlineStr">
        <is>
          <t>조명 / SMPS 2차측 별도(테프론선2C+석면튜브)</t>
        </is>
      </c>
      <c r="L30" s="77" t="inlineStr">
        <is>
          <t>●</t>
        </is>
      </c>
    </row>
    <row r="31" ht="23.25" customHeight="1" s="78">
      <c r="A31" s="77" t="inlineStr">
        <is>
          <t>21</t>
        </is>
      </c>
      <c r="B31" s="77" t="inlineStr">
        <is>
          <t>2</t>
        </is>
      </c>
      <c r="C31" s="77" t="inlineStr">
        <is>
          <t>20</t>
        </is>
      </c>
      <c r="D31" s="77" t="inlineStr">
        <is>
          <t>G1 (OIL MANAGE SYSTEM)</t>
        </is>
      </c>
      <c r="E31" s="101" t="inlineStr">
        <is>
          <t>기타</t>
        </is>
      </c>
      <c r="F31" s="77" t="inlineStr">
        <is>
          <t>HFIX 2.5㎟ 3C</t>
        </is>
      </c>
      <c r="G31" s="77" t="inlineStr">
        <is>
          <t>3C</t>
        </is>
      </c>
      <c r="H31" s="77" t="inlineStr">
        <is>
          <t>ST 16</t>
        </is>
      </c>
      <c r="I31" s="77" t="inlineStr">
        <is>
          <t>ST</t>
        </is>
      </c>
      <c r="J31" s="77" t="inlineStr">
        <is>
          <t>● ≥1.5㎟</t>
        </is>
      </c>
      <c r="K31" s="101" t="inlineStr">
        <is>
          <t>오일관리</t>
        </is>
      </c>
      <c r="L31" s="77" t="inlineStr">
        <is>
          <t>●</t>
        </is>
      </c>
    </row>
    <row r="32" ht="15" customHeight="1" s="78">
      <c r="A32" s="77" t="inlineStr">
        <is>
          <t>22</t>
        </is>
      </c>
      <c r="B32" s="77" t="inlineStr">
        <is>
          <t>2</t>
        </is>
      </c>
      <c r="C32" s="77" t="inlineStr">
        <is>
          <t>20</t>
        </is>
      </c>
      <c r="D32" s="77" t="inlineStr">
        <is>
          <t>ERV1 (전열교환기)</t>
        </is>
      </c>
      <c r="E32" s="101" t="inlineStr">
        <is>
          <t>공조</t>
        </is>
      </c>
      <c r="F32" s="77" t="inlineStr">
        <is>
          <t>HFIX 2.5㎟ 3C</t>
        </is>
      </c>
      <c r="G32" s="77" t="inlineStr">
        <is>
          <t>3C</t>
        </is>
      </c>
      <c r="H32" s="77" t="inlineStr">
        <is>
          <t>ST 16</t>
        </is>
      </c>
      <c r="I32" s="77" t="inlineStr">
        <is>
          <t>ST</t>
        </is>
      </c>
      <c r="J32" s="77" t="inlineStr">
        <is>
          <t>● ≥1.5㎟</t>
        </is>
      </c>
      <c r="K32" s="101" t="inlineStr">
        <is>
          <t>전열교환기</t>
        </is>
      </c>
      <c r="L32" s="77" t="inlineStr">
        <is>
          <t>●</t>
        </is>
      </c>
    </row>
    <row r="33" ht="15" customHeight="1" s="78">
      <c r="A33" s="77" t="inlineStr">
        <is>
          <t>23</t>
        </is>
      </c>
      <c r="B33" s="77" t="inlineStr">
        <is>
          <t>2</t>
        </is>
      </c>
      <c r="C33" s="77" t="inlineStr">
        <is>
          <t>20</t>
        </is>
      </c>
      <c r="D33" s="77" t="inlineStr">
        <is>
          <t>S1 (SIGN)</t>
        </is>
      </c>
      <c r="E33" s="101" t="inlineStr">
        <is>
          <t>사인</t>
        </is>
      </c>
      <c r="F33" s="77" t="inlineStr">
        <is>
          <t>HFIX 2.5㎟ 3C</t>
        </is>
      </c>
      <c r="G33" s="77" t="inlineStr">
        <is>
          <t>3C</t>
        </is>
      </c>
      <c r="H33" s="77" t="inlineStr">
        <is>
          <t>ST 16</t>
        </is>
      </c>
      <c r="I33" s="77" t="inlineStr">
        <is>
          <t>ST</t>
        </is>
      </c>
      <c r="J33" s="77" t="inlineStr">
        <is>
          <t>● ≥2.5㎟</t>
        </is>
      </c>
      <c r="K33" s="101" t="inlineStr">
        <is>
          <t>간판등</t>
        </is>
      </c>
      <c r="L33" s="77" t="inlineStr">
        <is>
          <t>●</t>
        </is>
      </c>
    </row>
    <row r="34" ht="15" customHeight="1" s="78">
      <c r="A34" s="77" t="inlineStr">
        <is>
          <t>24</t>
        </is>
      </c>
      <c r="B34" s="77" t="inlineStr">
        <is>
          <t>2</t>
        </is>
      </c>
      <c r="C34" s="77" t="inlineStr">
        <is>
          <t>20</t>
        </is>
      </c>
      <c r="D34" s="77" t="inlineStr">
        <is>
          <t>S3 (SIGN)</t>
        </is>
      </c>
      <c r="E34" s="101" t="inlineStr">
        <is>
          <t>사인</t>
        </is>
      </c>
      <c r="F34" s="77" t="inlineStr">
        <is>
          <t>HFIX 2.5㎟ 3C</t>
        </is>
      </c>
      <c r="G34" s="77" t="inlineStr">
        <is>
          <t>3C</t>
        </is>
      </c>
      <c r="H34" s="77" t="inlineStr">
        <is>
          <t>ST 16</t>
        </is>
      </c>
      <c r="I34" s="77" t="inlineStr">
        <is>
          <t>ST</t>
        </is>
      </c>
      <c r="J34" s="77" t="inlineStr">
        <is>
          <t>● ≥2.5㎟</t>
        </is>
      </c>
      <c r="K34" s="101" t="inlineStr">
        <is>
          <t>간판등</t>
        </is>
      </c>
      <c r="L34" s="77" t="inlineStr">
        <is>
          <t>●</t>
        </is>
      </c>
    </row>
    <row r="35" ht="15" customHeight="1" s="78">
      <c r="A35" s="77" t="inlineStr">
        <is>
          <t>25</t>
        </is>
      </c>
      <c r="B35" s="77" t="inlineStr">
        <is>
          <t>2</t>
        </is>
      </c>
      <c r="C35" s="77" t="inlineStr">
        <is>
          <t>20</t>
        </is>
      </c>
      <c r="D35" s="77" t="inlineStr">
        <is>
          <t>SPARE</t>
        </is>
      </c>
      <c r="E35" s="101" t="inlineStr">
        <is>
          <t>예비</t>
        </is>
      </c>
      <c r="F35" s="77" t="inlineStr">
        <is>
          <t>-</t>
        </is>
      </c>
      <c r="G35" s="77" t="inlineStr">
        <is>
          <t>3C</t>
        </is>
      </c>
      <c r="H35" s="77" t="inlineStr">
        <is>
          <t>-</t>
        </is>
      </c>
      <c r="I35" s="77" t="inlineStr">
        <is>
          <t>ST</t>
        </is>
      </c>
      <c r="J35" s="77" t="inlineStr">
        <is>
          <t>-</t>
        </is>
      </c>
      <c r="K35" s="101" t="inlineStr">
        <is>
          <t>예비 (산출제외)</t>
        </is>
      </c>
      <c r="L35" s="77" t="inlineStr">
        <is>
          <t>-</t>
        </is>
      </c>
    </row>
    <row r="36" ht="15" customHeight="1" s="78">
      <c r="A36" s="77" t="inlineStr">
        <is>
          <t>26</t>
        </is>
      </c>
      <c r="B36" s="77" t="inlineStr">
        <is>
          <t>2</t>
        </is>
      </c>
      <c r="C36" s="77" t="inlineStr">
        <is>
          <t>20</t>
        </is>
      </c>
      <c r="D36" s="77" t="inlineStr">
        <is>
          <t>SPARE</t>
        </is>
      </c>
      <c r="E36" s="101" t="inlineStr">
        <is>
          <t>예비</t>
        </is>
      </c>
      <c r="F36" s="77" t="inlineStr">
        <is>
          <t>-</t>
        </is>
      </c>
      <c r="G36" s="77" t="inlineStr">
        <is>
          <t>3C</t>
        </is>
      </c>
      <c r="H36" s="77" t="inlineStr">
        <is>
          <t>-</t>
        </is>
      </c>
      <c r="I36" s="77" t="inlineStr">
        <is>
          <t>ST</t>
        </is>
      </c>
      <c r="J36" s="77" t="inlineStr">
        <is>
          <t>-</t>
        </is>
      </c>
      <c r="K36" s="101" t="inlineStr">
        <is>
          <t>예비 (산출제외)</t>
        </is>
      </c>
      <c r="L36" s="77" t="inlineStr">
        <is>
          <t>-</t>
        </is>
      </c>
    </row>
    <row r="37" ht="15" customHeight="1" s="78">
      <c r="A37" s="77" t="inlineStr">
        <is>
          <t>27</t>
        </is>
      </c>
      <c r="B37" s="77" t="inlineStr">
        <is>
          <t>4</t>
        </is>
      </c>
      <c r="C37" s="77" t="inlineStr">
        <is>
          <t>30</t>
        </is>
      </c>
      <c r="D37" s="77" t="inlineStr">
        <is>
          <t>EF-1 (배기휀 1)</t>
        </is>
      </c>
      <c r="E37" s="101" t="inlineStr">
        <is>
          <t>동력</t>
        </is>
      </c>
      <c r="F37" s="77" t="inlineStr">
        <is>
          <t>HFIX 6㎟ 4C</t>
        </is>
      </c>
      <c r="G37" s="77" t="inlineStr">
        <is>
          <t>4C</t>
        </is>
      </c>
      <c r="H37" s="77" t="inlineStr">
        <is>
          <t>ST 22</t>
        </is>
      </c>
      <c r="I37" s="77" t="inlineStr">
        <is>
          <t>ST</t>
        </is>
      </c>
      <c r="J37" s="77" t="inlineStr">
        <is>
          <t>● ≥2.5㎟</t>
        </is>
      </c>
      <c r="K37" s="77" t="inlineStr">
        <is>
          <t>EF-1 3상</t>
        </is>
      </c>
      <c r="L37" s="77" t="inlineStr">
        <is>
          <t>●</t>
        </is>
      </c>
    </row>
    <row r="38" ht="15" customHeight="1" s="78">
      <c r="A38" s="77" t="inlineStr">
        <is>
          <t>28</t>
        </is>
      </c>
      <c r="B38" s="77" t="inlineStr">
        <is>
          <t>4</t>
        </is>
      </c>
      <c r="C38" s="77" t="inlineStr">
        <is>
          <t>50</t>
        </is>
      </c>
      <c r="D38" s="77" t="inlineStr">
        <is>
          <t>OAC-2 (실외기2)</t>
        </is>
      </c>
      <c r="E38" s="101" t="inlineStr">
        <is>
          <t>동력</t>
        </is>
      </c>
      <c r="F38" s="77" t="inlineStr">
        <is>
          <t>HFIX 6㎟ 4C</t>
        </is>
      </c>
      <c r="G38" s="77" t="inlineStr">
        <is>
          <t>4C</t>
        </is>
      </c>
      <c r="H38" s="77" t="inlineStr">
        <is>
          <t>ST 22</t>
        </is>
      </c>
      <c r="I38" s="77" t="inlineStr">
        <is>
          <t>ST</t>
        </is>
      </c>
      <c r="J38" s="77" t="inlineStr">
        <is>
          <t>● ≥2.5㎟</t>
        </is>
      </c>
      <c r="K38" s="77" t="inlineStr">
        <is>
          <t>OAC-2 3상</t>
        </is>
      </c>
      <c r="L38" s="77" t="inlineStr">
        <is>
          <t>●</t>
        </is>
      </c>
    </row>
    <row r="39" ht="15" customHeight="1" s="78">
      <c r="A39" s="77" t="inlineStr">
        <is>
          <t>29</t>
        </is>
      </c>
    </row>
    <row r="40" ht="15" customHeight="1" s="78">
      <c r="A40" s="77" t="inlineStr">
        <is>
          <t>30</t>
        </is>
      </c>
      <c r="B40" s="77" t="inlineStr">
        <is>
          <t>4</t>
        </is>
      </c>
      <c r="C40" s="77" t="inlineStr">
        <is>
          <t>30</t>
        </is>
      </c>
      <c r="D40" s="77" t="inlineStr">
        <is>
          <t>SPARE</t>
        </is>
      </c>
      <c r="E40" s="101" t="inlineStr">
        <is>
          <t>예비</t>
        </is>
      </c>
      <c r="F40" s="77" t="inlineStr">
        <is>
          <t>-</t>
        </is>
      </c>
      <c r="G40" s="77" t="inlineStr">
        <is>
          <t>4C</t>
        </is>
      </c>
      <c r="H40" s="77" t="inlineStr">
        <is>
          <t>-</t>
        </is>
      </c>
      <c r="I40" s="77" t="inlineStr">
        <is>
          <t>ST</t>
        </is>
      </c>
      <c r="J40" s="77" t="inlineStr">
        <is>
          <t>-</t>
        </is>
      </c>
      <c r="K40" s="101" t="inlineStr">
        <is>
          <t>예비 (산출제외)</t>
        </is>
      </c>
      <c r="L40" s="77" t="inlineStr">
        <is>
          <t>-</t>
        </is>
      </c>
    </row>
    <row r="41" ht="15" customHeight="1" s="78">
      <c r="A41" s="77" t="inlineStr">
        <is>
          <t>31</t>
        </is>
      </c>
      <c r="B41" s="77" t="inlineStr">
        <is>
          <t>4</t>
        </is>
      </c>
      <c r="C41" s="77" t="inlineStr">
        <is>
          <t>20</t>
        </is>
      </c>
      <c r="D41" s="77" t="inlineStr">
        <is>
          <t>CDU-2 (CONDENSING UNIT-MEAT REFRIGERATION)</t>
        </is>
      </c>
      <c r="E41" s="101" t="inlineStr">
        <is>
          <t>동력</t>
        </is>
      </c>
      <c r="F41" s="77" t="inlineStr">
        <is>
          <t>HFIX 6㎟ 4C</t>
        </is>
      </c>
      <c r="G41" s="77" t="inlineStr">
        <is>
          <t>4C</t>
        </is>
      </c>
      <c r="H41" s="77" t="inlineStr">
        <is>
          <t>ST 22</t>
        </is>
      </c>
      <c r="I41" s="77" t="inlineStr">
        <is>
          <t>ST</t>
        </is>
      </c>
      <c r="J41" s="77" t="inlineStr">
        <is>
          <t>● ≥2.5㎟</t>
        </is>
      </c>
      <c r="K41" s="77" t="inlineStr">
        <is>
          <t>CDU-2 3상</t>
        </is>
      </c>
      <c r="L41" s="77" t="inlineStr">
        <is>
          <t>●</t>
        </is>
      </c>
    </row>
    <row r="42" ht="15" customHeight="1" s="78">
      <c r="A42" s="77" t="inlineStr">
        <is>
          <t>32</t>
        </is>
      </c>
      <c r="B42" s="77" t="inlineStr">
        <is>
          <t>4</t>
        </is>
      </c>
      <c r="C42" s="77" t="inlineStr">
        <is>
          <t>30</t>
        </is>
      </c>
      <c r="D42" s="77" t="inlineStr">
        <is>
          <t>K18 (DRYER)</t>
        </is>
      </c>
      <c r="E42" s="101" t="inlineStr">
        <is>
          <t>동력</t>
        </is>
      </c>
      <c r="F42" s="77" t="inlineStr">
        <is>
          <t>F-CV 6㎟ 4C</t>
        </is>
      </c>
      <c r="G42" s="77" t="inlineStr">
        <is>
          <t>4C</t>
        </is>
      </c>
      <c r="H42" s="77" t="inlineStr">
        <is>
          <t>ST 36</t>
        </is>
      </c>
      <c r="I42" s="77" t="inlineStr">
        <is>
          <t>ST</t>
        </is>
      </c>
      <c r="J42" s="77" t="inlineStr">
        <is>
          <t>● 3Φ380V 8.5kW</t>
        </is>
      </c>
      <c r="K42" s="77" t="inlineStr">
        <is>
          <t>DRYER</t>
        </is>
      </c>
      <c r="L42" s="77" t="inlineStr">
        <is>
          <t>●</t>
        </is>
      </c>
    </row>
    <row r="43" ht="15" customHeight="1" s="78">
      <c r="A43" s="77" t="inlineStr">
        <is>
          <t>33</t>
        </is>
      </c>
      <c r="B43" s="77" t="inlineStr">
        <is>
          <t>2</t>
        </is>
      </c>
      <c r="C43" s="77" t="inlineStr">
        <is>
          <t>20</t>
        </is>
      </c>
      <c r="D43" s="77" t="inlineStr">
        <is>
          <t>A2 (실내기전원)</t>
        </is>
      </c>
      <c r="E43" s="101" t="inlineStr">
        <is>
          <t>공조</t>
        </is>
      </c>
      <c r="F43" s="77" t="inlineStr">
        <is>
          <t>HFIX 4㎟ 3C</t>
        </is>
      </c>
      <c r="G43" s="77" t="inlineStr">
        <is>
          <t>3C</t>
        </is>
      </c>
      <c r="H43" s="77" t="inlineStr">
        <is>
          <t>ST 22</t>
        </is>
      </c>
      <c r="I43" s="77" t="inlineStr">
        <is>
          <t>ST</t>
        </is>
      </c>
      <c r="J43" s="77" t="inlineStr">
        <is>
          <t>● ≥2.5㎟</t>
        </is>
      </c>
      <c r="K43" s="101" t="inlineStr">
        <is>
          <t>실내기</t>
        </is>
      </c>
      <c r="L43" s="77" t="inlineStr">
        <is>
          <t>●</t>
        </is>
      </c>
    </row>
    <row r="44" ht="15" customHeight="1" s="78">
      <c r="A44" s="77" t="inlineStr">
        <is>
          <t>34</t>
        </is>
      </c>
      <c r="B44" s="77" t="inlineStr">
        <is>
          <t>2</t>
        </is>
      </c>
      <c r="C44" s="77" t="inlineStr">
        <is>
          <t>20</t>
        </is>
      </c>
      <c r="D44" s="77" t="inlineStr">
        <is>
          <t>K2 (POTATO SINK)</t>
        </is>
      </c>
      <c r="E44" s="101" t="inlineStr">
        <is>
          <t>주방기기</t>
        </is>
      </c>
      <c r="F44" s="77" t="inlineStr">
        <is>
          <t>F-CV 4㎟ 3C</t>
        </is>
      </c>
      <c r="G44" s="77" t="inlineStr">
        <is>
          <t>3C</t>
        </is>
      </c>
      <c r="H44" s="77" t="inlineStr">
        <is>
          <t>ST 28</t>
        </is>
      </c>
      <c r="I44" s="77" t="inlineStr">
        <is>
          <t>ST</t>
        </is>
      </c>
      <c r="J44" s="101" t="inlineStr">
        <is>
          <t>● 도면명기 (E-104)</t>
        </is>
      </c>
      <c r="K44" s="101" t="inlineStr">
        <is>
          <t>주방기기 1Φ</t>
        </is>
      </c>
      <c r="L44" s="77" t="inlineStr">
        <is>
          <t>●</t>
        </is>
      </c>
    </row>
    <row r="45" ht="15" customHeight="1" s="78">
      <c r="A45" s="77" t="inlineStr">
        <is>
          <t>35</t>
        </is>
      </c>
      <c r="B45" s="77" t="inlineStr">
        <is>
          <t>2</t>
        </is>
      </c>
      <c r="C45" s="77" t="inlineStr">
        <is>
          <t>20</t>
        </is>
      </c>
      <c r="D45" s="77" t="inlineStr">
        <is>
          <t>K4 (FRYER, 4BAY (GAS TYPE) × 2)</t>
        </is>
      </c>
      <c r="E45" s="101" t="inlineStr">
        <is>
          <t>주방기기</t>
        </is>
      </c>
      <c r="F45" s="77" t="inlineStr">
        <is>
          <t>F-CV 4㎟ 3C</t>
        </is>
      </c>
      <c r="G45" s="77" t="inlineStr">
        <is>
          <t>3C</t>
        </is>
      </c>
      <c r="H45" s="77" t="inlineStr">
        <is>
          <t>ST 28</t>
        </is>
      </c>
      <c r="I45" s="77" t="inlineStr">
        <is>
          <t>ST</t>
        </is>
      </c>
      <c r="J45" s="101" t="inlineStr">
        <is>
          <t>● 도면명기 (E-104)</t>
        </is>
      </c>
      <c r="K45" s="101" t="inlineStr">
        <is>
          <t>주방기기 1Φ</t>
        </is>
      </c>
      <c r="L45" s="77" t="inlineStr">
        <is>
          <t>●</t>
        </is>
      </c>
    </row>
    <row r="46" ht="15" customHeight="1" s="78">
      <c r="A46" s="77" t="inlineStr">
        <is>
          <t>36</t>
        </is>
      </c>
      <c r="B46" s="77" t="inlineStr">
        <is>
          <t>2</t>
        </is>
      </c>
      <c r="C46" s="77" t="inlineStr">
        <is>
          <t>20</t>
        </is>
      </c>
      <c r="D46" s="77" t="inlineStr">
        <is>
          <t>K6 (SANDWICH WRAP TABLE/PREP TABLE)</t>
        </is>
      </c>
      <c r="E46" s="101" t="inlineStr">
        <is>
          <t>주방기기</t>
        </is>
      </c>
      <c r="F46" s="77" t="inlineStr">
        <is>
          <t>F-CV 4㎟ 3C</t>
        </is>
      </c>
      <c r="G46" s="77" t="inlineStr">
        <is>
          <t>3C</t>
        </is>
      </c>
      <c r="H46" s="77" t="inlineStr">
        <is>
          <t>ST 28</t>
        </is>
      </c>
      <c r="I46" s="77" t="inlineStr">
        <is>
          <t>ST</t>
        </is>
      </c>
      <c r="J46" s="101" t="inlineStr">
        <is>
          <t>● 도면명기 (E-104)</t>
        </is>
      </c>
      <c r="K46" s="101" t="inlineStr">
        <is>
          <t>주방기기 1Φ</t>
        </is>
      </c>
      <c r="L46" s="77" t="inlineStr">
        <is>
          <t>●</t>
        </is>
      </c>
    </row>
    <row r="47" ht="15" customHeight="1" s="78">
      <c r="A47" s="77" t="inlineStr">
        <is>
          <t>37</t>
        </is>
      </c>
      <c r="B47" s="77" t="inlineStr">
        <is>
          <t>2</t>
        </is>
      </c>
      <c r="C47" s="77" t="inlineStr">
        <is>
          <t>20</t>
        </is>
      </c>
      <c r="D47" s="77" t="inlineStr">
        <is>
          <t>K8 (COOKED FRIED STATION/FRY STATION TABLE W/WARMER)</t>
        </is>
      </c>
      <c r="E47" s="101" t="inlineStr">
        <is>
          <t>주방기기</t>
        </is>
      </c>
      <c r="F47" s="77" t="inlineStr">
        <is>
          <t>F-CV 4㎟ 3C</t>
        </is>
      </c>
      <c r="G47" s="77" t="inlineStr">
        <is>
          <t>3C</t>
        </is>
      </c>
      <c r="H47" s="77" t="inlineStr">
        <is>
          <t>ST 28</t>
        </is>
      </c>
      <c r="I47" s="77" t="inlineStr">
        <is>
          <t>ST</t>
        </is>
      </c>
      <c r="J47" s="101" t="inlineStr">
        <is>
          <t>● 도면명기 (E-104)</t>
        </is>
      </c>
      <c r="K47" s="101" t="inlineStr">
        <is>
          <t>주방기기 1Φ</t>
        </is>
      </c>
      <c r="L47" s="77" t="inlineStr">
        <is>
          <t>●</t>
        </is>
      </c>
    </row>
    <row r="48" ht="15" customHeight="1" s="78">
      <c r="A48" s="77" t="inlineStr">
        <is>
          <t>38</t>
        </is>
      </c>
      <c r="B48" s="77" t="inlineStr">
        <is>
          <t>2</t>
        </is>
      </c>
      <c r="C48" s="77" t="inlineStr">
        <is>
          <t>20</t>
        </is>
      </c>
      <c r="D48" s="77" t="inlineStr">
        <is>
          <t>K10 (SHAKE FOUNTAINETTE COOLER/ORDER PRINTER)</t>
        </is>
      </c>
      <c r="E48" s="101" t="inlineStr">
        <is>
          <t>주방기기</t>
        </is>
      </c>
      <c r="F48" s="77" t="inlineStr">
        <is>
          <t>F-CV 4㎟ 3C</t>
        </is>
      </c>
      <c r="G48" s="77" t="inlineStr">
        <is>
          <t>3C</t>
        </is>
      </c>
      <c r="H48" s="77" t="inlineStr">
        <is>
          <t>ST 28</t>
        </is>
      </c>
      <c r="I48" s="77" t="inlineStr">
        <is>
          <t>ST</t>
        </is>
      </c>
      <c r="J48" s="101" t="inlineStr">
        <is>
          <t>● 도면명기 (E-104)</t>
        </is>
      </c>
      <c r="K48" s="101" t="inlineStr">
        <is>
          <t>주방기기 1Φ</t>
        </is>
      </c>
      <c r="L48" s="77" t="inlineStr">
        <is>
          <t>●</t>
        </is>
      </c>
    </row>
    <row r="49" ht="15" customHeight="1" s="78">
      <c r="A49" s="77" t="inlineStr">
        <is>
          <t>39</t>
        </is>
      </c>
      <c r="B49" s="77" t="inlineStr">
        <is>
          <t>2</t>
        </is>
      </c>
      <c r="C49" s="77" t="inlineStr">
        <is>
          <t>20</t>
        </is>
      </c>
      <c r="D49" s="77" t="inlineStr">
        <is>
          <t>K12 (FOUNTAIN DISPENSER)</t>
        </is>
      </c>
      <c r="E49" s="101" t="inlineStr">
        <is>
          <t>주방기기</t>
        </is>
      </c>
      <c r="F49" s="77" t="inlineStr">
        <is>
          <t>F-CV 4㎟ 3C</t>
        </is>
      </c>
      <c r="G49" s="77" t="inlineStr">
        <is>
          <t>3C</t>
        </is>
      </c>
      <c r="H49" s="77" t="inlineStr">
        <is>
          <t>ST 28</t>
        </is>
      </c>
      <c r="I49" s="77" t="inlineStr">
        <is>
          <t>ST</t>
        </is>
      </c>
      <c r="J49" s="101" t="inlineStr">
        <is>
          <t>● 도면명기 (E-104)</t>
        </is>
      </c>
      <c r="K49" s="101" t="inlineStr">
        <is>
          <t>주방기기 1Φ</t>
        </is>
      </c>
      <c r="L49" s="77" t="inlineStr">
        <is>
          <t>●</t>
        </is>
      </c>
    </row>
    <row r="50" ht="15" customHeight="1" s="78">
      <c r="A50" s="77" t="inlineStr">
        <is>
          <t>40</t>
        </is>
      </c>
      <c r="B50" s="77" t="inlineStr">
        <is>
          <t>2</t>
        </is>
      </c>
      <c r="C50" s="77" t="inlineStr">
        <is>
          <t>20</t>
        </is>
      </c>
      <c r="D50" s="77" t="inlineStr">
        <is>
          <t>K14 (FOUNTAIN DISPENSER)</t>
        </is>
      </c>
      <c r="E50" s="101" t="inlineStr">
        <is>
          <t>주방기기</t>
        </is>
      </c>
      <c r="F50" s="77" t="inlineStr">
        <is>
          <t>F-CV 4㎟ 3C</t>
        </is>
      </c>
      <c r="G50" s="77" t="inlineStr">
        <is>
          <t>3C</t>
        </is>
      </c>
      <c r="H50" s="77" t="inlineStr">
        <is>
          <t>ST 28</t>
        </is>
      </c>
      <c r="I50" s="77" t="inlineStr">
        <is>
          <t>ST</t>
        </is>
      </c>
      <c r="J50" s="101" t="inlineStr">
        <is>
          <t>● 도면명기 (E-104)</t>
        </is>
      </c>
      <c r="K50" s="101" t="inlineStr">
        <is>
          <t>주방기기 1Φ</t>
        </is>
      </c>
      <c r="L50" s="77" t="inlineStr">
        <is>
          <t>●</t>
        </is>
      </c>
    </row>
    <row r="51" ht="15" customHeight="1" s="78">
      <c r="A51" s="77" t="inlineStr">
        <is>
          <t>41</t>
        </is>
      </c>
      <c r="B51" s="77" t="inlineStr">
        <is>
          <t>2</t>
        </is>
      </c>
      <c r="C51" s="77" t="inlineStr">
        <is>
          <t>20</t>
        </is>
      </c>
      <c r="D51" s="77" t="inlineStr">
        <is>
          <t>K16 (Water Booster)</t>
        </is>
      </c>
      <c r="E51" s="101" t="inlineStr">
        <is>
          <t>주방기기</t>
        </is>
      </c>
      <c r="F51" s="77" t="inlineStr">
        <is>
          <t>F-CV 4㎟ 3C</t>
        </is>
      </c>
      <c r="G51" s="77" t="inlineStr">
        <is>
          <t>3C</t>
        </is>
      </c>
      <c r="H51" s="77" t="inlineStr">
        <is>
          <t>ST 28</t>
        </is>
      </c>
      <c r="I51" s="77" t="inlineStr">
        <is>
          <t>ST</t>
        </is>
      </c>
      <c r="J51" s="101" t="inlineStr">
        <is>
          <t>● 도면명기 (E-104)</t>
        </is>
      </c>
      <c r="K51" s="101" t="inlineStr">
        <is>
          <t>주방기기 1Φ</t>
        </is>
      </c>
      <c r="L51" s="77" t="inlineStr">
        <is>
          <t>●</t>
        </is>
      </c>
    </row>
    <row r="52" ht="23.25" customHeight="1" s="78">
      <c r="A52" s="77" t="inlineStr">
        <is>
          <t>42</t>
        </is>
      </c>
      <c r="B52" s="77" t="inlineStr">
        <is>
          <t>2</t>
        </is>
      </c>
      <c r="C52" s="77" t="inlineStr">
        <is>
          <t>20</t>
        </is>
      </c>
      <c r="D52" s="77" t="inlineStr">
        <is>
          <t>R2 (매니저룸)</t>
        </is>
      </c>
      <c r="E52" s="101" t="inlineStr">
        <is>
          <t>전열</t>
        </is>
      </c>
      <c r="F52" s="77" t="inlineStr">
        <is>
          <t>HFIX 4㎟ 3C</t>
        </is>
      </c>
      <c r="G52" s="77" t="inlineStr">
        <is>
          <t>3C</t>
        </is>
      </c>
      <c r="H52" s="77" t="inlineStr">
        <is>
          <t>ST 22</t>
        </is>
      </c>
      <c r="I52" s="77" t="inlineStr">
        <is>
          <t>ST</t>
        </is>
      </c>
      <c r="J52" s="77" t="inlineStr">
        <is>
          <t>● ≥2.5㎟ +ELB</t>
        </is>
      </c>
      <c r="K52" s="101" t="inlineStr">
        <is>
          <t>전열</t>
        </is>
      </c>
      <c r="L52" s="77" t="inlineStr">
        <is>
          <t>●</t>
        </is>
      </c>
    </row>
    <row r="53" ht="23.25" customHeight="1" s="78">
      <c r="A53" s="77" t="inlineStr">
        <is>
          <t>43</t>
        </is>
      </c>
      <c r="B53" s="77" t="inlineStr">
        <is>
          <t>2</t>
        </is>
      </c>
      <c r="C53" s="77" t="inlineStr">
        <is>
          <t>20</t>
        </is>
      </c>
      <c r="D53" s="77" t="inlineStr">
        <is>
          <t>R4 (포중등/MIC외)</t>
        </is>
      </c>
      <c r="E53" s="101" t="inlineStr">
        <is>
          <t>전열</t>
        </is>
      </c>
      <c r="F53" s="77" t="inlineStr">
        <is>
          <t>HFIX 4㎟ 3C</t>
        </is>
      </c>
      <c r="G53" s="77" t="inlineStr">
        <is>
          <t>3C</t>
        </is>
      </c>
      <c r="H53" s="77" t="inlineStr">
        <is>
          <t>ST 22</t>
        </is>
      </c>
      <c r="I53" s="77" t="inlineStr">
        <is>
          <t>ST</t>
        </is>
      </c>
      <c r="J53" s="77" t="inlineStr">
        <is>
          <t>● ≥2.5㎟ +ELB</t>
        </is>
      </c>
      <c r="K53" s="101" t="inlineStr">
        <is>
          <t>전열</t>
        </is>
      </c>
      <c r="L53" s="77" t="inlineStr">
        <is>
          <t>●</t>
        </is>
      </c>
    </row>
    <row r="54" ht="23.25" customHeight="1" s="78">
      <c r="A54" s="77" t="inlineStr">
        <is>
          <t>44</t>
        </is>
      </c>
      <c r="B54" s="77" t="inlineStr">
        <is>
          <t>2</t>
        </is>
      </c>
      <c r="C54" s="77" t="inlineStr">
        <is>
          <t>20</t>
        </is>
      </c>
      <c r="D54" s="77" t="inlineStr">
        <is>
          <t>R6 (포중등/정수기/핸드믹서)</t>
        </is>
      </c>
      <c r="E54" s="101" t="inlineStr">
        <is>
          <t>전열</t>
        </is>
      </c>
      <c r="F54" s="77" t="inlineStr">
        <is>
          <t>HFIX 4㎟ 3C</t>
        </is>
      </c>
      <c r="G54" s="77" t="inlineStr">
        <is>
          <t>3C</t>
        </is>
      </c>
      <c r="H54" s="77" t="inlineStr">
        <is>
          <t>ST 22</t>
        </is>
      </c>
      <c r="I54" s="77" t="inlineStr">
        <is>
          <t>ST</t>
        </is>
      </c>
      <c r="J54" s="77" t="inlineStr">
        <is>
          <t>● ≥2.5㎟ +ELB</t>
        </is>
      </c>
      <c r="K54" s="101" t="inlineStr">
        <is>
          <t>전열</t>
        </is>
      </c>
      <c r="L54" s="77" t="inlineStr">
        <is>
          <t>●</t>
        </is>
      </c>
    </row>
    <row r="55" ht="23.25" customHeight="1" s="78">
      <c r="A55" s="77" t="inlineStr">
        <is>
          <t>45</t>
        </is>
      </c>
      <c r="B55" s="77" t="inlineStr">
        <is>
          <t>2</t>
        </is>
      </c>
      <c r="C55" s="77" t="inlineStr">
        <is>
          <t>20</t>
        </is>
      </c>
      <c r="D55" s="77" t="inlineStr">
        <is>
          <t>SPARE</t>
        </is>
      </c>
      <c r="E55" s="101" t="inlineStr">
        <is>
          <t>예비</t>
        </is>
      </c>
      <c r="F55" s="77" t="inlineStr">
        <is>
          <t>-</t>
        </is>
      </c>
      <c r="G55" s="77" t="inlineStr">
        <is>
          <t>3C</t>
        </is>
      </c>
      <c r="H55" s="77" t="inlineStr">
        <is>
          <t>-</t>
        </is>
      </c>
      <c r="I55" s="77" t="inlineStr">
        <is>
          <t>ST</t>
        </is>
      </c>
      <c r="J55" s="77" t="inlineStr">
        <is>
          <t>-</t>
        </is>
      </c>
      <c r="K55" s="101" t="inlineStr">
        <is>
          <t>예비 (산출제외)</t>
        </is>
      </c>
      <c r="L55" s="77" t="inlineStr">
        <is>
          <t>-</t>
        </is>
      </c>
    </row>
    <row r="56" ht="23.25" customHeight="1" s="78">
      <c r="A56" s="77" t="inlineStr">
        <is>
          <t>46</t>
        </is>
      </c>
      <c r="B56" s="77" t="inlineStr">
        <is>
          <t>2</t>
        </is>
      </c>
      <c r="C56" s="77" t="inlineStr">
        <is>
          <t>20</t>
        </is>
      </c>
      <c r="D56" s="77" t="inlineStr">
        <is>
          <t>L2 (LIGHTING)</t>
        </is>
      </c>
      <c r="E56" s="101" t="inlineStr">
        <is>
          <t>조명</t>
        </is>
      </c>
      <c r="F56" s="77" t="inlineStr">
        <is>
          <t>HFIX 2.5㎟ 3C</t>
        </is>
      </c>
      <c r="G56" s="77" t="inlineStr">
        <is>
          <t>3C</t>
        </is>
      </c>
      <c r="H56" s="77" t="inlineStr">
        <is>
          <t>ST 16</t>
        </is>
      </c>
      <c r="I56" s="77" t="inlineStr">
        <is>
          <t>ST</t>
        </is>
      </c>
      <c r="J56" s="77" t="inlineStr">
        <is>
          <t>● ≥1.5㎟</t>
        </is>
      </c>
      <c r="K56" s="101" t="inlineStr">
        <is>
          <t>조명 / SMPS 2차측 별도(테프론선2C+석면튜브)</t>
        </is>
      </c>
      <c r="L56" s="77" t="inlineStr">
        <is>
          <t>●</t>
        </is>
      </c>
    </row>
    <row r="57" ht="23.25" customHeight="1" s="78">
      <c r="A57" s="77" t="inlineStr">
        <is>
          <t>47</t>
        </is>
      </c>
      <c r="B57" s="77" t="inlineStr">
        <is>
          <t>2</t>
        </is>
      </c>
      <c r="C57" s="77" t="inlineStr">
        <is>
          <t>20</t>
        </is>
      </c>
      <c r="D57" s="77" t="inlineStr">
        <is>
          <t>H1 (HOOD/LAMP/FILTER × 5)</t>
        </is>
      </c>
      <c r="E57" s="101" t="inlineStr">
        <is>
          <t>공조</t>
        </is>
      </c>
      <c r="F57" s="77" t="inlineStr">
        <is>
          <t>HFIX 4㎟ 3C</t>
        </is>
      </c>
      <c r="G57" s="77" t="inlineStr">
        <is>
          <t>3C</t>
        </is>
      </c>
      <c r="H57" s="77" t="inlineStr">
        <is>
          <t>ST 22</t>
        </is>
      </c>
      <c r="I57" s="77" t="inlineStr">
        <is>
          <t>ST</t>
        </is>
      </c>
      <c r="J57" s="77" t="inlineStr">
        <is>
          <t>● ≥2.5㎟</t>
        </is>
      </c>
      <c r="K57" s="77" t="inlineStr">
        <is>
          <t>HOOD/LAMP/FILTER ×5</t>
        </is>
      </c>
      <c r="L57" s="77" t="inlineStr">
        <is>
          <t>●</t>
        </is>
      </c>
    </row>
    <row r="58" ht="23.25" customHeight="1" s="78">
      <c r="A58" s="77" t="inlineStr">
        <is>
          <t>48</t>
        </is>
      </c>
      <c r="B58" s="77" t="inlineStr">
        <is>
          <t>2</t>
        </is>
      </c>
      <c r="C58" s="77" t="inlineStr">
        <is>
          <t>20</t>
        </is>
      </c>
      <c r="D58" s="77" t="inlineStr">
        <is>
          <t>ERV2 (전열교환기2)</t>
        </is>
      </c>
      <c r="E58" s="101" t="inlineStr">
        <is>
          <t>공조</t>
        </is>
      </c>
      <c r="F58" s="77" t="inlineStr">
        <is>
          <t>HFIX 2.5㎟ 3C</t>
        </is>
      </c>
      <c r="G58" s="77" t="inlineStr">
        <is>
          <t>3C</t>
        </is>
      </c>
      <c r="H58" s="77" t="inlineStr">
        <is>
          <t>ST 16</t>
        </is>
      </c>
      <c r="I58" s="77" t="inlineStr">
        <is>
          <t>ST</t>
        </is>
      </c>
      <c r="J58" s="77" t="inlineStr">
        <is>
          <t>● ≥1.5㎟</t>
        </is>
      </c>
      <c r="K58" s="101" t="inlineStr">
        <is>
          <t>전열교환기</t>
        </is>
      </c>
      <c r="L58" s="77" t="inlineStr">
        <is>
          <t>●</t>
        </is>
      </c>
    </row>
    <row r="59" ht="23.25" customHeight="1" s="78">
      <c r="A59" s="77" t="inlineStr">
        <is>
          <t>49</t>
        </is>
      </c>
      <c r="B59" s="77" t="inlineStr">
        <is>
          <t>2</t>
        </is>
      </c>
      <c r="C59" s="77" t="inlineStr">
        <is>
          <t>20</t>
        </is>
      </c>
      <c r="D59" s="77" t="inlineStr">
        <is>
          <t>S2 (SIGN)</t>
        </is>
      </c>
      <c r="E59" s="101" t="inlineStr">
        <is>
          <t>사인</t>
        </is>
      </c>
      <c r="F59" s="77" t="inlineStr">
        <is>
          <t>HFIX 2.5㎟ 3C</t>
        </is>
      </c>
      <c r="G59" s="77" t="inlineStr">
        <is>
          <t>3C</t>
        </is>
      </c>
      <c r="H59" s="77" t="inlineStr">
        <is>
          <t>ST 16</t>
        </is>
      </c>
      <c r="I59" s="77" t="inlineStr">
        <is>
          <t>ST</t>
        </is>
      </c>
      <c r="J59" s="77" t="inlineStr">
        <is>
          <t>● ≥2.5㎟</t>
        </is>
      </c>
      <c r="K59" s="101" t="inlineStr">
        <is>
          <t>간판등</t>
        </is>
      </c>
      <c r="L59" s="77" t="inlineStr">
        <is>
          <t>●</t>
        </is>
      </c>
    </row>
    <row r="60" ht="23.25" customHeight="1" s="78">
      <c r="A60" s="77" t="inlineStr">
        <is>
          <t>50</t>
        </is>
      </c>
      <c r="B60" s="77" t="inlineStr">
        <is>
          <t>2</t>
        </is>
      </c>
      <c r="C60" s="77" t="inlineStr">
        <is>
          <t>20</t>
        </is>
      </c>
      <c r="D60" s="77" t="inlineStr">
        <is>
          <t>SPARE</t>
        </is>
      </c>
      <c r="E60" s="101" t="inlineStr">
        <is>
          <t>예비</t>
        </is>
      </c>
      <c r="F60" s="77" t="inlineStr">
        <is>
          <t>-</t>
        </is>
      </c>
      <c r="G60" s="77" t="inlineStr">
        <is>
          <t>3C</t>
        </is>
      </c>
      <c r="H60" s="77" t="inlineStr">
        <is>
          <t>-</t>
        </is>
      </c>
      <c r="I60" s="77" t="inlineStr">
        <is>
          <t>ST</t>
        </is>
      </c>
      <c r="J60" s="77" t="inlineStr">
        <is>
          <t>-</t>
        </is>
      </c>
      <c r="K60" s="101" t="inlineStr">
        <is>
          <t>예비 (산출제외)</t>
        </is>
      </c>
      <c r="L60" s="77" t="inlineStr">
        <is>
          <t>-</t>
        </is>
      </c>
    </row>
    <row r="61" ht="23.25" customHeight="1" s="78">
      <c r="A61" s="77" t="inlineStr">
        <is>
          <t>51</t>
        </is>
      </c>
      <c r="B61" s="77" t="inlineStr">
        <is>
          <t>2</t>
        </is>
      </c>
      <c r="C61" s="77" t="inlineStr">
        <is>
          <t>20</t>
        </is>
      </c>
      <c r="D61" s="77" t="inlineStr">
        <is>
          <t>SPARE</t>
        </is>
      </c>
      <c r="E61" s="101" t="inlineStr">
        <is>
          <t>예비</t>
        </is>
      </c>
      <c r="F61" s="77" t="inlineStr">
        <is>
          <t>-</t>
        </is>
      </c>
      <c r="G61" s="77" t="inlineStr">
        <is>
          <t>3C</t>
        </is>
      </c>
      <c r="H61" s="77" t="inlineStr">
        <is>
          <t>-</t>
        </is>
      </c>
      <c r="I61" s="77" t="inlineStr">
        <is>
          <t>ST</t>
        </is>
      </c>
      <c r="J61" s="77" t="inlineStr">
        <is>
          <t>-</t>
        </is>
      </c>
      <c r="K61" s="101" t="inlineStr">
        <is>
          <t>예비 (산출제외)</t>
        </is>
      </c>
      <c r="L61" s="77" t="inlineStr">
        <is>
          <t>-</t>
        </is>
      </c>
    </row>
    <row r="62" ht="23.25" customHeight="1" s="78">
      <c r="A62" s="77" t="inlineStr">
        <is>
          <t>52</t>
        </is>
      </c>
      <c r="B62" s="77" t="inlineStr">
        <is>
          <t>2</t>
        </is>
      </c>
      <c r="C62" s="77" t="inlineStr">
        <is>
          <t>20</t>
        </is>
      </c>
      <c r="D62" s="77" t="inlineStr">
        <is>
          <t>SPARE</t>
        </is>
      </c>
      <c r="E62" s="101" t="inlineStr">
        <is>
          <t>예비</t>
        </is>
      </c>
      <c r="F62" s="77" t="inlineStr">
        <is>
          <t>-</t>
        </is>
      </c>
      <c r="G62" s="77" t="inlineStr">
        <is>
          <t>3C</t>
        </is>
      </c>
      <c r="H62" s="77" t="inlineStr">
        <is>
          <t>-</t>
        </is>
      </c>
      <c r="I62" s="77" t="inlineStr">
        <is>
          <t>ST</t>
        </is>
      </c>
      <c r="J62" s="77" t="inlineStr">
        <is>
          <t>-</t>
        </is>
      </c>
      <c r="K62" s="101" t="inlineStr">
        <is>
          <t>예비 (산출제외)</t>
        </is>
      </c>
      <c r="L62" s="77" t="inlineStr">
        <is>
          <t>-</t>
        </is>
      </c>
    </row>
    <row r="63" ht="15" customHeight="1" s="78"/>
    <row r="64" ht="15" customHeight="1" s="78">
      <c r="A64" s="128" t="inlineStr">
        <is>
          <t>LP-E (1F 비상/주방 보조) — MAIN 4P 30AT / FROM LP-1M PNL 분기</t>
        </is>
      </c>
    </row>
    <row r="65" ht="15" customHeight="1" s="78">
      <c r="A65" s="129" t="inlineStr">
        <is>
          <t>CCT</t>
        </is>
      </c>
      <c r="B65" s="129" t="inlineStr">
        <is>
          <t>POLE</t>
        </is>
      </c>
      <c r="C65" s="129" t="inlineStr">
        <is>
          <t>AT</t>
        </is>
      </c>
      <c r="D65" s="130" t="inlineStr">
        <is>
          <t>부하명</t>
        </is>
      </c>
      <c r="E65" s="130" t="inlineStr">
        <is>
          <t>부하분류</t>
        </is>
      </c>
      <c r="F65" s="130" t="inlineStr">
        <is>
          <t>전선규격</t>
        </is>
      </c>
      <c r="G65" s="130" t="inlineStr">
        <is>
          <t>가닥수</t>
        </is>
      </c>
      <c r="H65" s="130" t="inlineStr">
        <is>
          <t>배관규격</t>
        </is>
      </c>
      <c r="I65" s="130" t="inlineStr">
        <is>
          <t>배관유형</t>
        </is>
      </c>
      <c r="J65" s="129" t="inlineStr">
        <is>
          <t>KEC검증</t>
        </is>
      </c>
      <c r="K65" s="130" t="inlineStr">
        <is>
          <t>비고</t>
        </is>
      </c>
      <c r="L65" s="130" t="inlineStr">
        <is>
          <t>신뢰도</t>
        </is>
      </c>
    </row>
    <row r="66" ht="15" customHeight="1" s="78">
      <c r="A66" s="77" t="inlineStr">
        <is>
          <t>MAIN</t>
        </is>
      </c>
      <c r="B66" s="77" t="inlineStr">
        <is>
          <t>4</t>
        </is>
      </c>
      <c r="C66" s="77" t="inlineStr">
        <is>
          <t>30</t>
        </is>
      </c>
      <c r="D66" s="77" t="inlineStr">
        <is>
          <t>MAIN</t>
        </is>
      </c>
      <c r="E66" s="101" t="inlineStr">
        <is>
          <t>간선</t>
        </is>
      </c>
      <c r="F66" s="77" t="inlineStr">
        <is>
          <t>F-CV 16㎟ 4C</t>
        </is>
      </c>
      <c r="G66" s="77" t="inlineStr">
        <is>
          <t>4C</t>
        </is>
      </c>
      <c r="H66" s="77" t="inlineStr">
        <is>
          <t>ST 28</t>
        </is>
      </c>
      <c r="I66" s="77" t="inlineStr">
        <is>
          <t>ST</t>
        </is>
      </c>
      <c r="J66" s="101" t="inlineStr">
        <is>
          <t>● 도체 OK</t>
        </is>
      </c>
      <c r="K66" s="101" t="inlineStr">
        <is>
          <t>간선</t>
        </is>
      </c>
      <c r="L66" s="77" t="inlineStr">
        <is>
          <t>●</t>
        </is>
      </c>
    </row>
    <row r="67" ht="15" customHeight="1" s="78">
      <c r="A67" s="77" t="inlineStr">
        <is>
          <t>1</t>
        </is>
      </c>
      <c r="B67" s="77" t="inlineStr">
        <is>
          <t>2</t>
        </is>
      </c>
      <c r="C67" s="77" t="inlineStr">
        <is>
          <t>20</t>
        </is>
      </c>
      <c r="D67" s="77" t="inlineStr">
        <is>
          <t>A3 (에어커튼)</t>
        </is>
      </c>
      <c r="E67" s="101" t="inlineStr">
        <is>
          <t>동력</t>
        </is>
      </c>
      <c r="F67" s="77" t="inlineStr">
        <is>
          <t>HFIX 4㎟ 3C</t>
        </is>
      </c>
      <c r="G67" s="77" t="inlineStr">
        <is>
          <t>3C</t>
        </is>
      </c>
      <c r="H67" s="77" t="inlineStr">
        <is>
          <t>ST 22</t>
        </is>
      </c>
      <c r="I67" s="77" t="inlineStr">
        <is>
          <t>ST</t>
        </is>
      </c>
      <c r="J67" s="77" t="inlineStr">
        <is>
          <t>● ≥2.5㎟</t>
        </is>
      </c>
      <c r="K67" s="101" t="inlineStr">
        <is>
          <t>실내기</t>
        </is>
      </c>
      <c r="L67" s="77" t="inlineStr">
        <is>
          <t>●</t>
        </is>
      </c>
    </row>
    <row r="68" ht="15" customHeight="1" s="78">
      <c r="A68" s="77" t="inlineStr">
        <is>
          <t>2</t>
        </is>
      </c>
      <c r="B68" s="77" t="inlineStr">
        <is>
          <t>2</t>
        </is>
      </c>
      <c r="C68" s="77" t="inlineStr">
        <is>
          <t>20</t>
        </is>
      </c>
      <c r="D68" s="77" t="inlineStr">
        <is>
          <t>ER2 (매니저룸)</t>
        </is>
      </c>
      <c r="E68" s="101" t="inlineStr">
        <is>
          <t>전열</t>
        </is>
      </c>
      <c r="F68" s="77" t="inlineStr">
        <is>
          <t>HFIX 2.5㎟ 3C</t>
        </is>
      </c>
      <c r="G68" s="77" t="inlineStr">
        <is>
          <t>3C</t>
        </is>
      </c>
      <c r="H68" s="77" t="inlineStr">
        <is>
          <t>ST 16</t>
        </is>
      </c>
      <c r="I68" s="77" t="inlineStr">
        <is>
          <t>ST</t>
        </is>
      </c>
      <c r="J68" s="77" t="inlineStr">
        <is>
          <t>● ≥1.5㎟</t>
        </is>
      </c>
      <c r="K68" s="101" t="inlineStr">
        <is>
          <t>경보/통신/소화</t>
        </is>
      </c>
      <c r="L68" s="77" t="inlineStr">
        <is>
          <t>●</t>
        </is>
      </c>
    </row>
    <row r="69" ht="15" customHeight="1" s="78">
      <c r="A69" s="77" t="inlineStr">
        <is>
          <t>3</t>
        </is>
      </c>
      <c r="B69" s="77" t="inlineStr">
        <is>
          <t>2</t>
        </is>
      </c>
      <c r="C69" s="77" t="inlineStr">
        <is>
          <t>20</t>
        </is>
      </c>
      <c r="D69" s="77" t="inlineStr">
        <is>
          <t>ER3 (매니저룸(단상RACK))</t>
        </is>
      </c>
      <c r="E69" s="101" t="inlineStr">
        <is>
          <t>전열</t>
        </is>
      </c>
      <c r="F69" s="77" t="inlineStr">
        <is>
          <t>HFIX 2.5㎟ 3C</t>
        </is>
      </c>
      <c r="G69" s="77" t="inlineStr">
        <is>
          <t>3C</t>
        </is>
      </c>
      <c r="H69" s="77" t="inlineStr">
        <is>
          <t>ST 16</t>
        </is>
      </c>
      <c r="I69" s="77" t="inlineStr">
        <is>
          <t>ST</t>
        </is>
      </c>
      <c r="J69" s="77" t="inlineStr">
        <is>
          <t>● ≥1.5㎟</t>
        </is>
      </c>
      <c r="K69" s="101" t="inlineStr">
        <is>
          <t>경보/통신/소화</t>
        </is>
      </c>
      <c r="L69" s="77" t="inlineStr">
        <is>
          <t>●</t>
        </is>
      </c>
    </row>
    <row r="70" ht="15" customHeight="1" s="78">
      <c r="A70" s="77" t="inlineStr">
        <is>
          <t>4</t>
        </is>
      </c>
      <c r="B70" s="77" t="inlineStr">
        <is>
          <t>2</t>
        </is>
      </c>
      <c r="C70" s="77" t="inlineStr">
        <is>
          <t>20</t>
        </is>
      </c>
      <c r="D70" s="77" t="inlineStr">
        <is>
          <t>SP1 (간이 스프링쿨러)</t>
        </is>
      </c>
      <c r="E70" s="101" t="inlineStr">
        <is>
          <t>소방</t>
        </is>
      </c>
      <c r="F70" s="77" t="inlineStr">
        <is>
          <t>HFIX 2.5㎟ 3C</t>
        </is>
      </c>
      <c r="G70" s="77" t="inlineStr">
        <is>
          <t>3C</t>
        </is>
      </c>
      <c r="H70" s="77" t="inlineStr">
        <is>
          <t>ST 16</t>
        </is>
      </c>
      <c r="I70" s="77" t="inlineStr">
        <is>
          <t>ST</t>
        </is>
      </c>
      <c r="J70" s="77" t="inlineStr">
        <is>
          <t>● ≥2.5㎟</t>
        </is>
      </c>
      <c r="K70" s="101" t="inlineStr">
        <is>
          <t>간판등</t>
        </is>
      </c>
      <c r="L70" s="77" t="inlineStr">
        <is>
          <t>●</t>
        </is>
      </c>
    </row>
    <row r="71" ht="15" customHeight="1" s="78">
      <c r="A71" s="77" t="inlineStr">
        <is>
          <t>5</t>
        </is>
      </c>
      <c r="B71" s="77" t="inlineStr">
        <is>
          <t>2</t>
        </is>
      </c>
      <c r="C71" s="77" t="inlineStr">
        <is>
          <t>20</t>
        </is>
      </c>
      <c r="D71" s="77" t="inlineStr">
        <is>
          <t>ER5 (가스경보)</t>
        </is>
      </c>
      <c r="E71" s="101" t="inlineStr">
        <is>
          <t>소방</t>
        </is>
      </c>
      <c r="F71" s="77" t="inlineStr">
        <is>
          <t>HFIX 2.5㎟ 3C</t>
        </is>
      </c>
      <c r="G71" s="77" t="inlineStr">
        <is>
          <t>3C</t>
        </is>
      </c>
      <c r="H71" s="77" t="inlineStr">
        <is>
          <t>ST 16</t>
        </is>
      </c>
      <c r="I71" s="77" t="inlineStr">
        <is>
          <t>ST</t>
        </is>
      </c>
      <c r="J71" s="77" t="inlineStr">
        <is>
          <t>● ≥1.5㎟</t>
        </is>
      </c>
      <c r="K71" s="101" t="inlineStr">
        <is>
          <t>경보/통신/소화</t>
        </is>
      </c>
      <c r="L71" s="77" t="inlineStr">
        <is>
          <t>●</t>
        </is>
      </c>
    </row>
    <row r="72" ht="15" customHeight="1" s="78">
      <c r="A72" s="77" t="inlineStr">
        <is>
          <t>6</t>
        </is>
      </c>
      <c r="B72" s="77" t="inlineStr">
        <is>
          <t>2</t>
        </is>
      </c>
      <c r="C72" s="77" t="inlineStr">
        <is>
          <t>20</t>
        </is>
      </c>
      <c r="D72" s="77" t="inlineStr">
        <is>
          <t>EX1 (유도등)</t>
        </is>
      </c>
      <c r="E72" s="101" t="inlineStr">
        <is>
          <t>소방</t>
        </is>
      </c>
      <c r="F72" s="77" t="inlineStr">
        <is>
          <t>HFIX 2.5㎟ 3C</t>
        </is>
      </c>
      <c r="G72" s="77" t="inlineStr">
        <is>
          <t>3C</t>
        </is>
      </c>
      <c r="H72" s="77" t="inlineStr">
        <is>
          <t>ST 16</t>
        </is>
      </c>
      <c r="I72" s="77" t="inlineStr">
        <is>
          <t>ST</t>
        </is>
      </c>
      <c r="J72" s="77" t="inlineStr">
        <is>
          <t>● ≥1.5㎟</t>
        </is>
      </c>
      <c r="K72" s="101" t="inlineStr">
        <is>
          <t>유도등</t>
        </is>
      </c>
      <c r="L72" s="77" t="inlineStr">
        <is>
          <t>●</t>
        </is>
      </c>
    </row>
    <row r="73" ht="15" customHeight="1" s="78">
      <c r="A73" s="77" t="inlineStr">
        <is>
          <t>7</t>
        </is>
      </c>
    </row>
    <row r="74" ht="15" customHeight="1" s="78">
      <c r="A74" s="77" t="inlineStr">
        <is>
          <t>8</t>
        </is>
      </c>
      <c r="B74" s="77" t="inlineStr">
        <is>
          <t>2</t>
        </is>
      </c>
      <c r="C74" s="77" t="inlineStr">
        <is>
          <t>20</t>
        </is>
      </c>
      <c r="D74" s="77" t="inlineStr">
        <is>
          <t>ET1 (1층 화장실 온수기)</t>
        </is>
      </c>
      <c r="E74" s="101" t="inlineStr">
        <is>
          <t>전열</t>
        </is>
      </c>
      <c r="F74" s="77" t="inlineStr">
        <is>
          <t>HFIX 4㎟ 3C</t>
        </is>
      </c>
      <c r="G74" s="77" t="inlineStr">
        <is>
          <t>3C</t>
        </is>
      </c>
      <c r="H74" s="77" t="inlineStr">
        <is>
          <t>ST 22</t>
        </is>
      </c>
      <c r="I74" s="77" t="inlineStr">
        <is>
          <t>ST</t>
        </is>
      </c>
      <c r="J74" s="77" t="inlineStr">
        <is>
          <t>● ≥2.5㎟</t>
        </is>
      </c>
      <c r="K74" s="101" t="inlineStr">
        <is>
          <t>온수기/히터</t>
        </is>
      </c>
      <c r="L74" s="77" t="inlineStr">
        <is>
          <t>●</t>
        </is>
      </c>
    </row>
    <row r="75" ht="15" customHeight="1" s="78">
      <c r="A75" s="77" t="inlineStr">
        <is>
          <t>9</t>
        </is>
      </c>
      <c r="B75" s="77" t="inlineStr">
        <is>
          <t>2</t>
        </is>
      </c>
      <c r="C75" s="77" t="inlineStr">
        <is>
          <t>20</t>
        </is>
      </c>
      <c r="D75" s="77" t="inlineStr">
        <is>
          <t>EH1 (1층 화장실 히터)</t>
        </is>
      </c>
      <c r="E75" s="101" t="inlineStr">
        <is>
          <t>전열</t>
        </is>
      </c>
      <c r="F75" s="77" t="inlineStr">
        <is>
          <t>HFIX 4㎟ 3C</t>
        </is>
      </c>
      <c r="G75" s="77" t="inlineStr">
        <is>
          <t>3C</t>
        </is>
      </c>
      <c r="H75" s="77" t="inlineStr">
        <is>
          <t>ST 22</t>
        </is>
      </c>
      <c r="I75" s="77" t="inlineStr">
        <is>
          <t>ST</t>
        </is>
      </c>
      <c r="J75" s="77" t="inlineStr">
        <is>
          <t>● ≥2.5㎟</t>
        </is>
      </c>
      <c r="K75" s="101" t="inlineStr">
        <is>
          <t>온수기/히터</t>
        </is>
      </c>
      <c r="L75" s="77" t="inlineStr">
        <is>
          <t>●</t>
        </is>
      </c>
    </row>
    <row r="76" ht="15" customHeight="1" s="78">
      <c r="A76" s="77" t="inlineStr">
        <is>
          <t>10</t>
        </is>
      </c>
      <c r="B76" s="77" t="inlineStr">
        <is>
          <t>2</t>
        </is>
      </c>
      <c r="C76" s="77" t="inlineStr">
        <is>
          <t>20</t>
        </is>
      </c>
      <c r="D76" s="77" t="inlineStr">
        <is>
          <t>A4 (에어커튼)</t>
        </is>
      </c>
      <c r="E76" s="101" t="inlineStr">
        <is>
          <t>동력</t>
        </is>
      </c>
      <c r="F76" s="77" t="inlineStr">
        <is>
          <t>HFIX 4㎟ 3C</t>
        </is>
      </c>
      <c r="G76" s="77" t="inlineStr">
        <is>
          <t>3C</t>
        </is>
      </c>
      <c r="H76" s="77" t="inlineStr">
        <is>
          <t>ST 22</t>
        </is>
      </c>
      <c r="I76" s="77" t="inlineStr">
        <is>
          <t>ST</t>
        </is>
      </c>
      <c r="J76" s="77" t="inlineStr">
        <is>
          <t>● ≥2.5㎟</t>
        </is>
      </c>
      <c r="K76" s="101" t="inlineStr">
        <is>
          <t>실내기</t>
        </is>
      </c>
      <c r="L76" s="77" t="inlineStr">
        <is>
          <t>●</t>
        </is>
      </c>
    </row>
    <row r="77" ht="15" customHeight="1" s="78">
      <c r="A77" s="77" t="inlineStr">
        <is>
          <t>11</t>
        </is>
      </c>
      <c r="B77" s="77" t="inlineStr">
        <is>
          <t>2</t>
        </is>
      </c>
      <c r="C77" s="77" t="inlineStr">
        <is>
          <t>20</t>
        </is>
      </c>
      <c r="D77" s="77" t="inlineStr">
        <is>
          <t>ER1 (매니저룸 (CCTV 모니터))</t>
        </is>
      </c>
      <c r="E77" s="101" t="inlineStr">
        <is>
          <t>전열</t>
        </is>
      </c>
      <c r="F77" s="77" t="inlineStr">
        <is>
          <t>HFIX 2.5㎟ 3C</t>
        </is>
      </c>
      <c r="G77" s="77" t="inlineStr">
        <is>
          <t>3C</t>
        </is>
      </c>
      <c r="H77" s="77" t="inlineStr">
        <is>
          <t>ST 16</t>
        </is>
      </c>
      <c r="I77" s="77" t="inlineStr">
        <is>
          <t>ST</t>
        </is>
      </c>
      <c r="J77" s="77" t="inlineStr">
        <is>
          <t>● ≥1.5㎟</t>
        </is>
      </c>
      <c r="K77" s="101" t="inlineStr">
        <is>
          <t>경보/통신/소화</t>
        </is>
      </c>
      <c r="L77" s="77" t="inlineStr">
        <is>
          <t>●</t>
        </is>
      </c>
    </row>
    <row r="78" ht="15" customHeight="1" s="78">
      <c r="A78" s="77" t="inlineStr">
        <is>
          <t>12</t>
        </is>
      </c>
      <c r="B78" s="77" t="inlineStr">
        <is>
          <t>2</t>
        </is>
      </c>
      <c r="C78" s="77" t="inlineStr">
        <is>
          <t>20</t>
        </is>
      </c>
      <c r="D78" s="77" t="inlineStr">
        <is>
          <t>ER4 (매니저룸)</t>
        </is>
      </c>
      <c r="E78" s="101" t="inlineStr">
        <is>
          <t>전열</t>
        </is>
      </c>
      <c r="F78" s="77" t="inlineStr">
        <is>
          <t>HFIX 2.5㎟ 3C</t>
        </is>
      </c>
      <c r="G78" s="77" t="inlineStr">
        <is>
          <t>3C</t>
        </is>
      </c>
      <c r="H78" s="77" t="inlineStr">
        <is>
          <t>ST 16</t>
        </is>
      </c>
      <c r="I78" s="77" t="inlineStr">
        <is>
          <t>ST</t>
        </is>
      </c>
      <c r="J78" s="77" t="inlineStr">
        <is>
          <t>● ≥1.5㎟</t>
        </is>
      </c>
      <c r="K78" s="101" t="inlineStr">
        <is>
          <t>경보/통신/소화</t>
        </is>
      </c>
      <c r="L78" s="77" t="inlineStr">
        <is>
          <t>●</t>
        </is>
      </c>
    </row>
    <row r="79" ht="23.25" customHeight="1" s="78">
      <c r="A79" s="77" t="inlineStr">
        <is>
          <t>13</t>
        </is>
      </c>
      <c r="B79" s="77" t="inlineStr">
        <is>
          <t>2</t>
        </is>
      </c>
      <c r="C79" s="77" t="inlineStr">
        <is>
          <t>20</t>
        </is>
      </c>
      <c r="D79" s="77" t="inlineStr">
        <is>
          <t>F1 (자동확산소화기)</t>
        </is>
      </c>
      <c r="E79" s="101" t="inlineStr">
        <is>
          <t>소방</t>
        </is>
      </c>
      <c r="F79" s="77" t="inlineStr">
        <is>
          <t>HFIX 2.5㎟ 3C</t>
        </is>
      </c>
      <c r="G79" s="77" t="inlineStr">
        <is>
          <t>3C</t>
        </is>
      </c>
      <c r="H79" s="77" t="inlineStr">
        <is>
          <t>ST 16</t>
        </is>
      </c>
      <c r="I79" s="77" t="inlineStr">
        <is>
          <t>ST</t>
        </is>
      </c>
      <c r="J79" s="77" t="inlineStr">
        <is>
          <t>● ≥1.5㎟</t>
        </is>
      </c>
      <c r="K79" s="101" t="inlineStr">
        <is>
          <t>경보/통신/소화</t>
        </is>
      </c>
      <c r="L79" s="77" t="inlineStr">
        <is>
          <t>●</t>
        </is>
      </c>
    </row>
    <row r="80" ht="23.25" customHeight="1" s="78">
      <c r="A80" s="77" t="inlineStr">
        <is>
          <t>14</t>
        </is>
      </c>
      <c r="B80" s="77" t="inlineStr">
        <is>
          <t>2</t>
        </is>
      </c>
      <c r="C80" s="77" t="inlineStr">
        <is>
          <t>20</t>
        </is>
      </c>
      <c r="D80" s="77" t="inlineStr">
        <is>
          <t>DC1 (DC등 (비상조명))</t>
        </is>
      </c>
      <c r="E80" s="101" t="inlineStr">
        <is>
          <t>비상조명</t>
        </is>
      </c>
      <c r="F80" s="77" t="inlineStr">
        <is>
          <t>HFIX 2.5㎟ 3C</t>
        </is>
      </c>
      <c r="G80" s="77" t="inlineStr">
        <is>
          <t>3C</t>
        </is>
      </c>
      <c r="H80" s="77" t="inlineStr">
        <is>
          <t>ST 16</t>
        </is>
      </c>
      <c r="I80" s="77" t="inlineStr">
        <is>
          <t>ST</t>
        </is>
      </c>
      <c r="J80" s="77" t="inlineStr">
        <is>
          <t>● ≥1.5㎟</t>
        </is>
      </c>
      <c r="K80" s="101" t="inlineStr">
        <is>
          <t>비상조명</t>
        </is>
      </c>
      <c r="L80" s="77" t="inlineStr">
        <is>
          <t>●</t>
        </is>
      </c>
    </row>
    <row r="81" ht="23.25" customHeight="1" s="78">
      <c r="A81" s="77" t="inlineStr">
        <is>
          <t>15</t>
        </is>
      </c>
      <c r="B81" s="77" t="inlineStr">
        <is>
          <t>2</t>
        </is>
      </c>
      <c r="C81" s="77" t="inlineStr">
        <is>
          <t>20</t>
        </is>
      </c>
      <c r="D81" s="77" t="inlineStr">
        <is>
          <t>ET2 (2층 화장실 온수기)</t>
        </is>
      </c>
      <c r="E81" s="101" t="inlineStr">
        <is>
          <t>전열</t>
        </is>
      </c>
      <c r="F81" s="77" t="inlineStr">
        <is>
          <t>HFIX 4㎟ 3C</t>
        </is>
      </c>
      <c r="G81" s="77" t="inlineStr">
        <is>
          <t>3C</t>
        </is>
      </c>
      <c r="H81" s="77" t="inlineStr">
        <is>
          <t>ST 22</t>
        </is>
      </c>
      <c r="I81" s="77" t="inlineStr">
        <is>
          <t>ST</t>
        </is>
      </c>
      <c r="J81" s="77" t="inlineStr">
        <is>
          <t>● ≥2.5㎟</t>
        </is>
      </c>
      <c r="K81" s="101" t="inlineStr">
        <is>
          <t>온수기/히터</t>
        </is>
      </c>
      <c r="L81" s="77" t="inlineStr">
        <is>
          <t>●</t>
        </is>
      </c>
    </row>
    <row r="82" ht="15" customHeight="1" s="78">
      <c r="A82" s="77" t="inlineStr">
        <is>
          <t>16</t>
        </is>
      </c>
      <c r="B82" s="77" t="inlineStr">
        <is>
          <t>2</t>
        </is>
      </c>
      <c r="C82" s="77" t="inlineStr">
        <is>
          <t>20</t>
        </is>
      </c>
      <c r="D82" s="77" t="inlineStr">
        <is>
          <t>EH2 (2층 화장실 히터)</t>
        </is>
      </c>
      <c r="E82" s="101" t="inlineStr">
        <is>
          <t>전열</t>
        </is>
      </c>
      <c r="F82" s="77" t="inlineStr">
        <is>
          <t>HFIX 4㎟ 3C</t>
        </is>
      </c>
      <c r="G82" s="77" t="inlineStr">
        <is>
          <t>3C</t>
        </is>
      </c>
      <c r="H82" s="77" t="inlineStr">
        <is>
          <t>ST 22</t>
        </is>
      </c>
      <c r="I82" s="77" t="inlineStr">
        <is>
          <t>ST</t>
        </is>
      </c>
      <c r="J82" s="77" t="inlineStr">
        <is>
          <t>● ≥2.5㎟</t>
        </is>
      </c>
      <c r="K82" s="101" t="inlineStr">
        <is>
          <t>온수기/히터</t>
        </is>
      </c>
      <c r="L82" s="77" t="inlineStr">
        <is>
          <t>●</t>
        </is>
      </c>
    </row>
    <row r="83" ht="15" customHeight="1" s="78">
      <c r="A83" s="77" t="inlineStr">
        <is>
          <t>17</t>
        </is>
      </c>
      <c r="B83" s="77" t="inlineStr">
        <is>
          <t>2</t>
        </is>
      </c>
      <c r="C83" s="77" t="inlineStr">
        <is>
          <t>20</t>
        </is>
      </c>
      <c r="D83" s="77" t="inlineStr">
        <is>
          <t>SPARE</t>
        </is>
      </c>
      <c r="E83" s="101" t="inlineStr">
        <is>
          <t>예비</t>
        </is>
      </c>
      <c r="F83" s="77" t="inlineStr">
        <is>
          <t>-</t>
        </is>
      </c>
      <c r="G83" s="77" t="inlineStr">
        <is>
          <t>3C</t>
        </is>
      </c>
      <c r="H83" s="77" t="inlineStr">
        <is>
          <t>-</t>
        </is>
      </c>
      <c r="I83" s="77" t="inlineStr">
        <is>
          <t>ST</t>
        </is>
      </c>
      <c r="J83" s="77" t="inlineStr">
        <is>
          <t>-</t>
        </is>
      </c>
      <c r="K83" s="101" t="inlineStr">
        <is>
          <t>예비 (산출제외)</t>
        </is>
      </c>
      <c r="L83" s="77" t="inlineStr">
        <is>
          <t>-</t>
        </is>
      </c>
    </row>
    <row r="84" ht="15" customHeight="1" s="78">
      <c r="A84" s="77" t="inlineStr">
        <is>
          <t>18</t>
        </is>
      </c>
      <c r="B84" s="77" t="inlineStr">
        <is>
          <t>2</t>
        </is>
      </c>
      <c r="C84" s="77" t="inlineStr">
        <is>
          <t>20</t>
        </is>
      </c>
      <c r="D84" s="77" t="inlineStr">
        <is>
          <t>SPARE</t>
        </is>
      </c>
      <c r="E84" s="101" t="inlineStr">
        <is>
          <t>예비</t>
        </is>
      </c>
      <c r="F84" s="77" t="inlineStr">
        <is>
          <t>-</t>
        </is>
      </c>
      <c r="G84" s="77" t="inlineStr">
        <is>
          <t>3C</t>
        </is>
      </c>
      <c r="H84" s="77" t="inlineStr">
        <is>
          <t>-</t>
        </is>
      </c>
      <c r="I84" s="77" t="inlineStr">
        <is>
          <t>ST</t>
        </is>
      </c>
      <c r="J84" s="77" t="inlineStr">
        <is>
          <t>-</t>
        </is>
      </c>
      <c r="K84" s="101" t="inlineStr">
        <is>
          <t>예비 (산출제외)</t>
        </is>
      </c>
      <c r="L84" s="77" t="inlineStr">
        <is>
          <t>-</t>
        </is>
      </c>
    </row>
    <row r="85" ht="15" customHeight="1" s="78"/>
    <row r="86" ht="15" customHeight="1" s="78">
      <c r="A86" s="128" t="inlineStr">
        <is>
          <t>LP-2M (2F) — MAIN 4P 75AT MCCB / FROM 옥상 수배전반</t>
        </is>
      </c>
    </row>
    <row r="87" ht="15" customHeight="1" s="78">
      <c r="A87" s="129" t="inlineStr">
        <is>
          <t>CCT</t>
        </is>
      </c>
      <c r="B87" s="129" t="inlineStr">
        <is>
          <t>POLE</t>
        </is>
      </c>
      <c r="C87" s="129" t="inlineStr">
        <is>
          <t>AT</t>
        </is>
      </c>
      <c r="D87" s="130" t="inlineStr">
        <is>
          <t>부하명</t>
        </is>
      </c>
      <c r="E87" s="130" t="inlineStr">
        <is>
          <t>부하분류</t>
        </is>
      </c>
      <c r="F87" s="130" t="inlineStr">
        <is>
          <t>전선규격</t>
        </is>
      </c>
      <c r="G87" s="130" t="inlineStr">
        <is>
          <t>가닥수</t>
        </is>
      </c>
      <c r="H87" s="130" t="inlineStr">
        <is>
          <t>배관규격</t>
        </is>
      </c>
      <c r="I87" s="130" t="inlineStr">
        <is>
          <t>배관유형</t>
        </is>
      </c>
      <c r="J87" s="129" t="inlineStr">
        <is>
          <t>KEC검증</t>
        </is>
      </c>
      <c r="K87" s="130" t="inlineStr">
        <is>
          <t>비고</t>
        </is>
      </c>
      <c r="L87" s="130" t="inlineStr">
        <is>
          <t>신뢰도</t>
        </is>
      </c>
    </row>
    <row r="88" ht="15" customHeight="1" s="78">
      <c r="A88" s="77" t="inlineStr">
        <is>
          <t>MAIN</t>
        </is>
      </c>
      <c r="B88" s="77" t="inlineStr">
        <is>
          <t>4</t>
        </is>
      </c>
      <c r="C88" s="77" t="inlineStr">
        <is>
          <t>75</t>
        </is>
      </c>
      <c r="D88" s="77" t="inlineStr">
        <is>
          <t>MAIN</t>
        </is>
      </c>
      <c r="E88" s="101" t="inlineStr">
        <is>
          <t>간선</t>
        </is>
      </c>
      <c r="F88" s="77" t="inlineStr">
        <is>
          <t>F-CV 4C 16㎟</t>
        </is>
      </c>
      <c r="G88" s="77" t="inlineStr">
        <is>
          <t>4C</t>
        </is>
      </c>
      <c r="H88" s="77" t="inlineStr">
        <is>
          <t>ST 28</t>
        </is>
      </c>
      <c r="I88" s="77" t="inlineStr">
        <is>
          <t>ST</t>
        </is>
      </c>
      <c r="J88" s="101" t="inlineStr">
        <is>
          <t>● 도체 OK</t>
        </is>
      </c>
      <c r="K88" s="101" t="inlineStr">
        <is>
          <t>간선/분기</t>
        </is>
      </c>
      <c r="L88" s="77" t="inlineStr">
        <is>
          <t>●</t>
        </is>
      </c>
    </row>
    <row r="89" ht="15" customHeight="1" s="78">
      <c r="A89" s="77" t="inlineStr">
        <is>
          <t>1</t>
        </is>
      </c>
      <c r="B89" s="77" t="inlineStr">
        <is>
          <t>2</t>
        </is>
      </c>
      <c r="C89" s="77" t="inlineStr">
        <is>
          <t>30</t>
        </is>
      </c>
      <c r="D89" s="77" t="inlineStr">
        <is>
          <t>OAC-3 (실외기3)</t>
        </is>
      </c>
      <c r="E89" s="101" t="inlineStr">
        <is>
          <t>냉난방</t>
        </is>
      </c>
      <c r="F89" s="77" t="inlineStr">
        <is>
          <t>HFIX 4㎟ 4C</t>
        </is>
      </c>
      <c r="G89" s="77" t="inlineStr">
        <is>
          <t>4C</t>
        </is>
      </c>
      <c r="H89" s="77" t="inlineStr">
        <is>
          <t>ST 22</t>
        </is>
      </c>
      <c r="I89" s="77" t="inlineStr">
        <is>
          <t>ST</t>
        </is>
      </c>
      <c r="J89" s="77" t="inlineStr">
        <is>
          <t>● ≥2.5㎟</t>
        </is>
      </c>
      <c r="K89" s="101" t="inlineStr">
        <is>
          <t>실외기/3상</t>
        </is>
      </c>
      <c r="L89" s="77" t="inlineStr">
        <is>
          <t>●</t>
        </is>
      </c>
    </row>
    <row r="90" ht="23.25" customHeight="1" s="78">
      <c r="A90" s="77" t="inlineStr">
        <is>
          <t>2</t>
        </is>
      </c>
      <c r="B90" s="77" t="inlineStr">
        <is>
          <t>4</t>
        </is>
      </c>
      <c r="C90" s="77" t="inlineStr">
        <is>
          <t>30</t>
        </is>
      </c>
      <c r="D90" s="77" t="inlineStr">
        <is>
          <t>PNL → 온수기전원반</t>
        </is>
      </c>
      <c r="E90" s="101" t="inlineStr">
        <is>
          <t>간선</t>
        </is>
      </c>
      <c r="F90" s="77" t="inlineStr">
        <is>
          <t>F-CV 4C 16㎟</t>
        </is>
      </c>
      <c r="G90" s="77" t="inlineStr">
        <is>
          <t>4C</t>
        </is>
      </c>
      <c r="H90" s="77" t="inlineStr">
        <is>
          <t>ST 28</t>
        </is>
      </c>
      <c r="I90" s="77" t="inlineStr">
        <is>
          <t>ST</t>
        </is>
      </c>
      <c r="J90" s="101" t="inlineStr">
        <is>
          <t>● 도체 OK</t>
        </is>
      </c>
      <c r="K90" s="101" t="inlineStr">
        <is>
          <t>간선/분기</t>
        </is>
      </c>
      <c r="L90" s="77" t="inlineStr">
        <is>
          <t>●</t>
        </is>
      </c>
    </row>
    <row r="91" ht="23.25" customHeight="1" s="78">
      <c r="A91" s="77" t="inlineStr">
        <is>
          <t>3</t>
        </is>
      </c>
      <c r="B91" s="77" t="inlineStr">
        <is>
          <t>2</t>
        </is>
      </c>
      <c r="C91" s="77" t="inlineStr">
        <is>
          <t>30</t>
        </is>
      </c>
      <c r="D91" s="77" t="inlineStr">
        <is>
          <t>A1 (실내기1)</t>
        </is>
      </c>
      <c r="E91" s="101" t="inlineStr">
        <is>
          <t>냉난방</t>
        </is>
      </c>
      <c r="F91" s="77" t="inlineStr">
        <is>
          <t>HFIX 4㎟ 3C</t>
        </is>
      </c>
      <c r="G91" s="77" t="inlineStr">
        <is>
          <t>3C</t>
        </is>
      </c>
      <c r="H91" s="77" t="inlineStr">
        <is>
          <t>ST 22</t>
        </is>
      </c>
      <c r="I91" s="77" t="inlineStr">
        <is>
          <t>ST</t>
        </is>
      </c>
      <c r="J91" s="77" t="inlineStr">
        <is>
          <t>● ≥2.5㎟</t>
        </is>
      </c>
      <c r="K91" s="101" t="inlineStr">
        <is>
          <t>실내기</t>
        </is>
      </c>
      <c r="L91" s="77" t="inlineStr">
        <is>
          <t>●</t>
        </is>
      </c>
    </row>
    <row r="92" ht="23.25" customHeight="1" s="78">
      <c r="A92" s="77" t="inlineStr">
        <is>
          <t>4</t>
        </is>
      </c>
      <c r="B92" s="77" t="inlineStr">
        <is>
          <t>2</t>
        </is>
      </c>
      <c r="C92" s="77" t="inlineStr">
        <is>
          <t>30</t>
        </is>
      </c>
      <c r="D92" s="77" t="inlineStr">
        <is>
          <t>K1 (FOUNTAIN DISP)</t>
        </is>
      </c>
      <c r="E92" s="101" t="inlineStr">
        <is>
          <t>주방기기</t>
        </is>
      </c>
      <c r="F92" s="77" t="inlineStr">
        <is>
          <t>F-CV 4㎟ 3C</t>
        </is>
      </c>
      <c r="G92" s="77" t="inlineStr">
        <is>
          <t>3C</t>
        </is>
      </c>
      <c r="H92" s="77" t="inlineStr">
        <is>
          <t>ST 28</t>
        </is>
      </c>
      <c r="I92" s="77" t="inlineStr">
        <is>
          <t>ST</t>
        </is>
      </c>
      <c r="J92" s="101" t="inlineStr">
        <is>
          <t>● 도면명기 28C</t>
        </is>
      </c>
      <c r="K92" s="101" t="inlineStr">
        <is>
          <t>주방동력 (E-104 EQUIPMENT LIST)</t>
        </is>
      </c>
      <c r="L92" s="77" t="inlineStr">
        <is>
          <t>●</t>
        </is>
      </c>
    </row>
    <row r="93" ht="15" customHeight="1" s="78">
      <c r="A93" s="77" t="inlineStr">
        <is>
          <t>5</t>
        </is>
      </c>
      <c r="B93" s="77" t="inlineStr">
        <is>
          <t>2</t>
        </is>
      </c>
      <c r="C93" s="77" t="inlineStr">
        <is>
          <t>30</t>
        </is>
      </c>
      <c r="D93" s="77" t="inlineStr">
        <is>
          <t>K3 (FOUNTAIN DISP)</t>
        </is>
      </c>
      <c r="E93" s="101" t="inlineStr">
        <is>
          <t>주방기기</t>
        </is>
      </c>
      <c r="F93" s="77" t="inlineStr">
        <is>
          <t>F-CV 4㎟ 3C</t>
        </is>
      </c>
      <c r="G93" s="77" t="inlineStr">
        <is>
          <t>3C</t>
        </is>
      </c>
      <c r="H93" s="77" t="inlineStr">
        <is>
          <t>ST 28</t>
        </is>
      </c>
      <c r="I93" s="77" t="inlineStr">
        <is>
          <t>ST</t>
        </is>
      </c>
      <c r="J93" s="101" t="inlineStr">
        <is>
          <t>● 도면명기 28C</t>
        </is>
      </c>
      <c r="K93" s="101" t="inlineStr">
        <is>
          <t>주방동력 (E-104 EQUIPMENT LIST)</t>
        </is>
      </c>
      <c r="L93" s="77" t="inlineStr">
        <is>
          <t>●</t>
        </is>
      </c>
    </row>
    <row r="94" ht="15" customHeight="1" s="78">
      <c r="A94" s="77" t="inlineStr">
        <is>
          <t>6</t>
        </is>
      </c>
      <c r="B94" s="77" t="inlineStr">
        <is>
          <t>2</t>
        </is>
      </c>
      <c r="C94" s="77" t="inlineStr">
        <is>
          <t>30</t>
        </is>
      </c>
      <c r="D94" s="77" t="inlineStr">
        <is>
          <t>R1 (청소용/포장등)</t>
        </is>
      </c>
      <c r="E94" s="101" t="inlineStr">
        <is>
          <t>전열</t>
        </is>
      </c>
      <c r="F94" s="77" t="inlineStr">
        <is>
          <t>HFIX 4㎟ 3C</t>
        </is>
      </c>
      <c r="G94" s="77" t="inlineStr">
        <is>
          <t>3C</t>
        </is>
      </c>
      <c r="H94" s="77" t="inlineStr">
        <is>
          <t>ST 22</t>
        </is>
      </c>
      <c r="I94" s="77" t="inlineStr">
        <is>
          <t>ST</t>
        </is>
      </c>
      <c r="J94" s="77" t="inlineStr">
        <is>
          <t>● ≥2.5㎟ +ELB</t>
        </is>
      </c>
      <c r="K94" s="101" t="inlineStr">
        <is>
          <t>콘센트</t>
        </is>
      </c>
      <c r="L94" s="77" t="inlineStr">
        <is>
          <t>●</t>
        </is>
      </c>
    </row>
    <row r="95" ht="15" customHeight="1" s="78">
      <c r="A95" s="77" t="inlineStr">
        <is>
          <t>7</t>
        </is>
      </c>
      <c r="B95" s="77" t="inlineStr">
        <is>
          <t>2</t>
        </is>
      </c>
      <c r="C95" s="77" t="inlineStr">
        <is>
          <t>30</t>
        </is>
      </c>
      <c r="D95" s="77" t="inlineStr">
        <is>
          <t>ERV1 (전열교환기1)</t>
        </is>
      </c>
      <c r="E95" s="101" t="inlineStr">
        <is>
          <t>환기</t>
        </is>
      </c>
      <c r="F95" s="77" t="inlineStr">
        <is>
          <t>HFIX 2.5㎟ 3C</t>
        </is>
      </c>
      <c r="G95" s="77" t="inlineStr">
        <is>
          <t>3C</t>
        </is>
      </c>
      <c r="H95" s="77" t="inlineStr">
        <is>
          <t>ST 16</t>
        </is>
      </c>
      <c r="I95" s="77" t="inlineStr">
        <is>
          <t>ST</t>
        </is>
      </c>
      <c r="J95" s="77" t="inlineStr">
        <is>
          <t>● ≥1.5㎟</t>
        </is>
      </c>
      <c r="K95" s="101" t="inlineStr">
        <is>
          <t>전열교환기</t>
        </is>
      </c>
      <c r="L95" s="77" t="inlineStr">
        <is>
          <t>●</t>
        </is>
      </c>
    </row>
    <row r="96" ht="15" customHeight="1" s="78">
      <c r="A96" s="77" t="inlineStr">
        <is>
          <t>8</t>
        </is>
      </c>
      <c r="B96" s="77" t="inlineStr">
        <is>
          <t>2</t>
        </is>
      </c>
      <c r="C96" s="77" t="inlineStr">
        <is>
          <t>30</t>
        </is>
      </c>
      <c r="D96" s="77" t="inlineStr">
        <is>
          <t>L1 (LIGHTING)</t>
        </is>
      </c>
      <c r="E96" s="101" t="inlineStr">
        <is>
          <t>조명</t>
        </is>
      </c>
      <c r="F96" s="77" t="inlineStr">
        <is>
          <t>HFIX 2.5㎟ 3C</t>
        </is>
      </c>
      <c r="G96" s="77" t="inlineStr">
        <is>
          <t>3C</t>
        </is>
      </c>
      <c r="H96" s="77" t="inlineStr">
        <is>
          <t>ST 16</t>
        </is>
      </c>
      <c r="I96" s="77" t="inlineStr">
        <is>
          <t>ST</t>
        </is>
      </c>
      <c r="J96" s="77" t="inlineStr">
        <is>
          <t>● ≥1.5㎟</t>
        </is>
      </c>
      <c r="K96" s="101" t="inlineStr">
        <is>
          <t>천정등 / SMPS 2차측 별도(테프론선2C+석면튜브)</t>
        </is>
      </c>
      <c r="L96" s="77" t="inlineStr">
        <is>
          <t>●</t>
        </is>
      </c>
    </row>
    <row r="97" ht="15" customHeight="1" s="78">
      <c r="A97" s="77" t="inlineStr">
        <is>
          <t>9</t>
        </is>
      </c>
      <c r="B97" s="77" t="inlineStr">
        <is>
          <t>2</t>
        </is>
      </c>
      <c r="C97" s="77" t="inlineStr">
        <is>
          <t>30</t>
        </is>
      </c>
      <c r="D97" s="77" t="inlineStr">
        <is>
          <t>EX1 (유도등)</t>
        </is>
      </c>
      <c r="E97" s="101" t="inlineStr">
        <is>
          <t>유도등</t>
        </is>
      </c>
      <c r="F97" s="77" t="inlineStr">
        <is>
          <t>HFIX 2.5㎟ 3C</t>
        </is>
      </c>
      <c r="G97" s="77" t="inlineStr">
        <is>
          <t>3C</t>
        </is>
      </c>
      <c r="H97" s="77" t="inlineStr">
        <is>
          <t>ST 16</t>
        </is>
      </c>
      <c r="I97" s="77" t="inlineStr">
        <is>
          <t>ST</t>
        </is>
      </c>
      <c r="J97" s="77" t="inlineStr">
        <is>
          <t>● ≥1.5㎟</t>
        </is>
      </c>
      <c r="K97" s="101" t="inlineStr">
        <is>
          <t>유도등</t>
        </is>
      </c>
      <c r="L97" s="77" t="inlineStr">
        <is>
          <t>●</t>
        </is>
      </c>
    </row>
    <row r="98" ht="15" customHeight="1" s="78">
      <c r="A98" s="77" t="inlineStr">
        <is>
          <t>10</t>
        </is>
      </c>
      <c r="B98" s="77" t="inlineStr">
        <is>
          <t>2</t>
        </is>
      </c>
      <c r="C98" s="77" t="inlineStr">
        <is>
          <t>30</t>
        </is>
      </c>
      <c r="D98" s="77" t="inlineStr">
        <is>
          <t>AD1 (자동문)</t>
        </is>
      </c>
      <c r="E98" s="101" t="inlineStr">
        <is>
          <t>동력</t>
        </is>
      </c>
      <c r="F98" s="77" t="inlineStr">
        <is>
          <t>HFIX 2.5㎟ 3C</t>
        </is>
      </c>
      <c r="G98" s="77" t="inlineStr">
        <is>
          <t>3C</t>
        </is>
      </c>
      <c r="H98" s="77" t="inlineStr">
        <is>
          <t>ST 16</t>
        </is>
      </c>
      <c r="I98" s="77" t="inlineStr">
        <is>
          <t>ST</t>
        </is>
      </c>
      <c r="J98" s="77" t="inlineStr">
        <is>
          <t>● ≥1.5㎟</t>
        </is>
      </c>
      <c r="K98" s="101" t="inlineStr">
        <is>
          <t>자동문</t>
        </is>
      </c>
      <c r="L98" s="77" t="inlineStr">
        <is>
          <t>●</t>
        </is>
      </c>
    </row>
    <row r="99" ht="15" customHeight="1" s="78">
      <c r="A99" s="77" t="inlineStr">
        <is>
          <t>11</t>
        </is>
      </c>
    </row>
    <row r="100" ht="15" customHeight="1" s="78">
      <c r="A100" s="77" t="inlineStr">
        <is>
          <t>13</t>
        </is>
      </c>
      <c r="B100" s="77" t="inlineStr">
        <is>
          <t>1</t>
        </is>
      </c>
      <c r="C100" s="77" t="inlineStr">
        <is>
          <t>-</t>
        </is>
      </c>
      <c r="D100" s="77" t="inlineStr">
        <is>
          <t>SPARE</t>
        </is>
      </c>
      <c r="E100" s="101" t="inlineStr">
        <is>
          <t>예비</t>
        </is>
      </c>
      <c r="F100" s="77" t="inlineStr">
        <is>
          <t>-</t>
        </is>
      </c>
      <c r="G100" s="77" t="inlineStr">
        <is>
          <t>-</t>
        </is>
      </c>
      <c r="H100" s="77" t="inlineStr">
        <is>
          <t>-</t>
        </is>
      </c>
      <c r="I100" s="77" t="inlineStr">
        <is>
          <t>-</t>
        </is>
      </c>
      <c r="J100" s="77" t="inlineStr">
        <is>
          <t>-</t>
        </is>
      </c>
      <c r="K100" s="101" t="inlineStr">
        <is>
          <t>산출 제외</t>
        </is>
      </c>
      <c r="L100" s="77" t="inlineStr">
        <is>
          <t>-</t>
        </is>
      </c>
    </row>
    <row r="101" ht="15" customHeight="1" s="78">
      <c r="A101" s="77" t="inlineStr">
        <is>
          <t>14</t>
        </is>
      </c>
      <c r="B101" s="77" t="inlineStr">
        <is>
          <t>1</t>
        </is>
      </c>
      <c r="C101" s="77" t="inlineStr">
        <is>
          <t>-</t>
        </is>
      </c>
      <c r="D101" s="77" t="inlineStr">
        <is>
          <t>SPARE</t>
        </is>
      </c>
      <c r="E101" s="101" t="inlineStr">
        <is>
          <t>예비</t>
        </is>
      </c>
      <c r="F101" s="77" t="inlineStr">
        <is>
          <t>-</t>
        </is>
      </c>
      <c r="G101" s="77" t="inlineStr">
        <is>
          <t>-</t>
        </is>
      </c>
      <c r="H101" s="77" t="inlineStr">
        <is>
          <t>-</t>
        </is>
      </c>
      <c r="I101" s="77" t="inlineStr">
        <is>
          <t>-</t>
        </is>
      </c>
      <c r="J101" s="77" t="inlineStr">
        <is>
          <t>-</t>
        </is>
      </c>
      <c r="K101" s="101" t="inlineStr">
        <is>
          <t>산출 제외</t>
        </is>
      </c>
      <c r="L101" s="77" t="inlineStr">
        <is>
          <t>-</t>
        </is>
      </c>
    </row>
    <row r="102" ht="15" customHeight="1" s="78">
      <c r="A102" s="77" t="inlineStr">
        <is>
          <t>15</t>
        </is>
      </c>
      <c r="B102" s="77" t="inlineStr">
        <is>
          <t>2</t>
        </is>
      </c>
      <c r="C102" s="77" t="inlineStr">
        <is>
          <t>30</t>
        </is>
      </c>
      <c r="D102" s="77" t="inlineStr">
        <is>
          <t>A2 (실내기2)</t>
        </is>
      </c>
      <c r="E102" s="101" t="inlineStr">
        <is>
          <t>냉난방</t>
        </is>
      </c>
      <c r="F102" s="77" t="inlineStr">
        <is>
          <t>HFIX 4㎟ 3C</t>
        </is>
      </c>
      <c r="G102" s="77" t="inlineStr">
        <is>
          <t>3C</t>
        </is>
      </c>
      <c r="H102" s="77" t="inlineStr">
        <is>
          <t>ST 22</t>
        </is>
      </c>
      <c r="I102" s="77" t="inlineStr">
        <is>
          <t>ST</t>
        </is>
      </c>
      <c r="J102" s="77" t="inlineStr">
        <is>
          <t>● ≥2.5㎟</t>
        </is>
      </c>
      <c r="K102" s="101" t="inlineStr">
        <is>
          <t>실내기</t>
        </is>
      </c>
      <c r="L102" s="77" t="inlineStr">
        <is>
          <t>●</t>
        </is>
      </c>
    </row>
    <row r="103" ht="15" customHeight="1" s="78">
      <c r="A103" s="77" t="inlineStr">
        <is>
          <t>16</t>
        </is>
      </c>
      <c r="B103" s="77" t="inlineStr">
        <is>
          <t>2</t>
        </is>
      </c>
      <c r="C103" s="77" t="inlineStr">
        <is>
          <t>30</t>
        </is>
      </c>
      <c r="D103" s="77" t="inlineStr">
        <is>
          <t>K2 (ICE CUBE)</t>
        </is>
      </c>
      <c r="E103" s="101" t="inlineStr">
        <is>
          <t>주방기기</t>
        </is>
      </c>
      <c r="F103" s="77" t="inlineStr">
        <is>
          <t>F-CV 4㎟ 3C</t>
        </is>
      </c>
      <c r="G103" s="77" t="inlineStr">
        <is>
          <t>3C</t>
        </is>
      </c>
      <c r="H103" s="77" t="inlineStr">
        <is>
          <t>ST 28</t>
        </is>
      </c>
      <c r="I103" s="77" t="inlineStr">
        <is>
          <t>ST</t>
        </is>
      </c>
      <c r="J103" s="101" t="inlineStr">
        <is>
          <t>● 도면명기 28C</t>
        </is>
      </c>
      <c r="K103" s="101" t="inlineStr">
        <is>
          <t>주방동력 (E-104 EQUIPMENT LIST)</t>
        </is>
      </c>
      <c r="L103" s="77" t="inlineStr">
        <is>
          <t>●</t>
        </is>
      </c>
    </row>
    <row r="104" ht="15" customHeight="1" s="78">
      <c r="A104" s="77" t="inlineStr">
        <is>
          <t>17</t>
        </is>
      </c>
      <c r="B104" s="77" t="inlineStr">
        <is>
          <t>2</t>
        </is>
      </c>
      <c r="C104" s="77" t="inlineStr">
        <is>
          <t>30</t>
        </is>
      </c>
      <c r="D104" s="77" t="inlineStr">
        <is>
          <t>K4 (ICE CUBE)</t>
        </is>
      </c>
      <c r="E104" s="101" t="inlineStr">
        <is>
          <t>주방기기</t>
        </is>
      </c>
      <c r="F104" s="77" t="inlineStr">
        <is>
          <t>F-CV 4㎟ 3C</t>
        </is>
      </c>
      <c r="G104" s="77" t="inlineStr">
        <is>
          <t>3C</t>
        </is>
      </c>
      <c r="H104" s="77" t="inlineStr">
        <is>
          <t>ST 28</t>
        </is>
      </c>
      <c r="I104" s="77" t="inlineStr">
        <is>
          <t>ST</t>
        </is>
      </c>
      <c r="J104" s="101" t="inlineStr">
        <is>
          <t>● 도면명기 28C</t>
        </is>
      </c>
      <c r="K104" s="101" t="inlineStr">
        <is>
          <t>주방동력 (E-104 EQUIPMENT LIST)</t>
        </is>
      </c>
      <c r="L104" s="77" t="inlineStr">
        <is>
          <t>●</t>
        </is>
      </c>
    </row>
    <row r="105" ht="15" customHeight="1" s="78">
      <c r="A105" s="77" t="inlineStr">
        <is>
          <t>18</t>
        </is>
      </c>
      <c r="B105" s="77" t="inlineStr">
        <is>
          <t>2</t>
        </is>
      </c>
      <c r="C105" s="77" t="inlineStr">
        <is>
          <t>30</t>
        </is>
      </c>
      <c r="D105" s="77" t="inlineStr">
        <is>
          <t>R2 (콘센트)</t>
        </is>
      </c>
      <c r="E105" s="101" t="inlineStr">
        <is>
          <t>전열</t>
        </is>
      </c>
      <c r="F105" s="77" t="inlineStr">
        <is>
          <t>HFIX 4㎟ 3C</t>
        </is>
      </c>
      <c r="G105" s="77" t="inlineStr">
        <is>
          <t>3C</t>
        </is>
      </c>
      <c r="H105" s="77" t="inlineStr">
        <is>
          <t>ST 22</t>
        </is>
      </c>
      <c r="I105" s="77" t="inlineStr">
        <is>
          <t>ST</t>
        </is>
      </c>
      <c r="J105" s="77" t="inlineStr">
        <is>
          <t>● ≥2.5㎟ +ELB</t>
        </is>
      </c>
      <c r="K105" s="101" t="inlineStr">
        <is>
          <t>콘센트</t>
        </is>
      </c>
      <c r="L105" s="77" t="inlineStr">
        <is>
          <t>●</t>
        </is>
      </c>
    </row>
    <row r="106" ht="15" customHeight="1" s="78">
      <c r="A106" s="77" t="inlineStr">
        <is>
          <t>19</t>
        </is>
      </c>
      <c r="B106" s="77" t="inlineStr">
        <is>
          <t>2</t>
        </is>
      </c>
      <c r="C106" s="77" t="inlineStr">
        <is>
          <t>30</t>
        </is>
      </c>
      <c r="D106" s="77" t="inlineStr">
        <is>
          <t>ERV2 (전열교환기2)</t>
        </is>
      </c>
      <c r="E106" s="101" t="inlineStr">
        <is>
          <t>환기</t>
        </is>
      </c>
      <c r="F106" s="77" t="inlineStr">
        <is>
          <t>HFIX 2.5㎟ 3C</t>
        </is>
      </c>
      <c r="G106" s="77" t="inlineStr">
        <is>
          <t>3C</t>
        </is>
      </c>
      <c r="H106" s="77" t="inlineStr">
        <is>
          <t>ST 16</t>
        </is>
      </c>
      <c r="I106" s="77" t="inlineStr">
        <is>
          <t>ST</t>
        </is>
      </c>
      <c r="J106" s="77" t="inlineStr">
        <is>
          <t>● ≥1.5㎟</t>
        </is>
      </c>
      <c r="K106" s="101" t="inlineStr">
        <is>
          <t>전열교환기</t>
        </is>
      </c>
      <c r="L106" s="77" t="inlineStr">
        <is>
          <t>●</t>
        </is>
      </c>
    </row>
    <row r="107" ht="15" customHeight="1" s="78">
      <c r="A107" s="77" t="inlineStr">
        <is>
          <t>20</t>
        </is>
      </c>
      <c r="B107" s="77" t="inlineStr">
        <is>
          <t>2</t>
        </is>
      </c>
      <c r="C107" s="77" t="inlineStr">
        <is>
          <t>30</t>
        </is>
      </c>
      <c r="D107" s="77" t="inlineStr">
        <is>
          <t>L2 (LIGHTING)</t>
        </is>
      </c>
      <c r="E107" s="101" t="inlineStr">
        <is>
          <t>조명</t>
        </is>
      </c>
      <c r="F107" s="77" t="inlineStr">
        <is>
          <t>HFIX 2.5㎟ 3C</t>
        </is>
      </c>
      <c r="G107" s="77" t="inlineStr">
        <is>
          <t>3C</t>
        </is>
      </c>
      <c r="H107" s="77" t="inlineStr">
        <is>
          <t>ST 16</t>
        </is>
      </c>
      <c r="I107" s="77" t="inlineStr">
        <is>
          <t>ST</t>
        </is>
      </c>
      <c r="J107" s="77" t="inlineStr">
        <is>
          <t>● ≥1.5㎟</t>
        </is>
      </c>
      <c r="K107" s="101" t="inlineStr">
        <is>
          <t>천정등 / SMPS 2차측 별도(테프론선2C+석면튜브)</t>
        </is>
      </c>
      <c r="L107" s="77" t="inlineStr">
        <is>
          <t>●</t>
        </is>
      </c>
    </row>
    <row r="108" ht="15" customHeight="1" s="78">
      <c r="A108" s="77" t="inlineStr">
        <is>
          <t>21</t>
        </is>
      </c>
      <c r="B108" s="77" t="inlineStr">
        <is>
          <t>2</t>
        </is>
      </c>
      <c r="C108" s="77" t="inlineStr">
        <is>
          <t>30</t>
        </is>
      </c>
      <c r="D108" s="77" t="inlineStr">
        <is>
          <t>DC1 (비상조명등)</t>
        </is>
      </c>
      <c r="E108" s="101" t="inlineStr">
        <is>
          <t>비상조명</t>
        </is>
      </c>
      <c r="F108" s="77" t="inlineStr">
        <is>
          <t>HFIX 2.5㎟ 3C</t>
        </is>
      </c>
      <c r="G108" s="77" t="inlineStr">
        <is>
          <t>3C</t>
        </is>
      </c>
      <c r="H108" s="77" t="inlineStr">
        <is>
          <t>ST 16</t>
        </is>
      </c>
      <c r="I108" s="77" t="inlineStr">
        <is>
          <t>ST</t>
        </is>
      </c>
      <c r="J108" s="77" t="inlineStr">
        <is>
          <t>● ≥1.5㎟</t>
        </is>
      </c>
      <c r="K108" s="101" t="inlineStr">
        <is>
          <t>비상조명등</t>
        </is>
      </c>
      <c r="L108" s="77" t="inlineStr">
        <is>
          <t>●</t>
        </is>
      </c>
    </row>
    <row r="109" ht="15" customHeight="1" s="78">
      <c r="A109" s="77" t="inlineStr">
        <is>
          <t>22</t>
        </is>
      </c>
      <c r="B109" s="77" t="inlineStr">
        <is>
          <t>2</t>
        </is>
      </c>
      <c r="C109" s="77" t="inlineStr">
        <is>
          <t>30</t>
        </is>
      </c>
      <c r="D109" s="77" t="inlineStr">
        <is>
          <t>P1 (방화셔터1)</t>
        </is>
      </c>
      <c r="E109" s="101" t="inlineStr">
        <is>
          <t>동력</t>
        </is>
      </c>
      <c r="F109" s="77" t="inlineStr">
        <is>
          <t>HFIX 4㎟ 3C</t>
        </is>
      </c>
      <c r="G109" s="77" t="inlineStr">
        <is>
          <t>3C</t>
        </is>
      </c>
      <c r="H109" s="77" t="inlineStr">
        <is>
          <t>ST 22</t>
        </is>
      </c>
      <c r="I109" s="77" t="inlineStr">
        <is>
          <t>ST</t>
        </is>
      </c>
      <c r="J109" s="77" t="inlineStr">
        <is>
          <t>● ≥2.5㎟</t>
        </is>
      </c>
      <c r="K109" s="101" t="inlineStr">
        <is>
          <t>펌프/셔터</t>
        </is>
      </c>
      <c r="L109" s="77" t="inlineStr">
        <is>
          <t>●</t>
        </is>
      </c>
    </row>
    <row r="110" ht="15" customHeight="1" s="78">
      <c r="A110" s="77" t="inlineStr">
        <is>
          <t>23</t>
        </is>
      </c>
      <c r="B110" s="77" t="inlineStr">
        <is>
          <t>2</t>
        </is>
      </c>
      <c r="C110" s="77" t="inlineStr">
        <is>
          <t>30</t>
        </is>
      </c>
      <c r="D110" s="77" t="inlineStr">
        <is>
          <t>P2 (방화셔터2)</t>
        </is>
      </c>
      <c r="E110" s="101" t="inlineStr">
        <is>
          <t>동력</t>
        </is>
      </c>
      <c r="F110" s="77" t="inlineStr">
        <is>
          <t>HFIX 4㎟ 3C</t>
        </is>
      </c>
      <c r="G110" s="77" t="inlineStr">
        <is>
          <t>3C</t>
        </is>
      </c>
      <c r="H110" s="77" t="inlineStr">
        <is>
          <t>ST 22</t>
        </is>
      </c>
      <c r="I110" s="77" t="inlineStr">
        <is>
          <t>ST</t>
        </is>
      </c>
      <c r="J110" s="77" t="inlineStr">
        <is>
          <t>● ≥2.5㎟</t>
        </is>
      </c>
      <c r="K110" s="101" t="inlineStr">
        <is>
          <t>펌프/셔터</t>
        </is>
      </c>
      <c r="L110" s="77" t="inlineStr">
        <is>
          <t>●</t>
        </is>
      </c>
    </row>
    <row r="112" ht="15" customHeight="1" s="78">
      <c r="A112" s="131" t="inlineStr">
        <is>
          <t>온수기전원반 (B1F) — MAIN 4P 30AT / FROM LP-2M PNL 분기</t>
        </is>
      </c>
    </row>
    <row r="113" ht="15" customHeight="1" s="78">
      <c r="A113" s="129" t="inlineStr">
        <is>
          <t>CCT</t>
        </is>
      </c>
      <c r="B113" s="129" t="inlineStr">
        <is>
          <t>POLE</t>
        </is>
      </c>
      <c r="C113" s="129" t="inlineStr">
        <is>
          <t>AT</t>
        </is>
      </c>
      <c r="D113" s="130" t="inlineStr">
        <is>
          <t>부하명</t>
        </is>
      </c>
      <c r="E113" s="130" t="inlineStr">
        <is>
          <t>부하분류</t>
        </is>
      </c>
      <c r="F113" s="130" t="inlineStr">
        <is>
          <t>전선규격</t>
        </is>
      </c>
      <c r="G113" s="130" t="inlineStr">
        <is>
          <t>가닥수</t>
        </is>
      </c>
      <c r="H113" s="130" t="inlineStr">
        <is>
          <t>배관규격</t>
        </is>
      </c>
      <c r="I113" s="130" t="inlineStr">
        <is>
          <t>배관유형</t>
        </is>
      </c>
      <c r="J113" s="129" t="inlineStr">
        <is>
          <t>KEC검증</t>
        </is>
      </c>
      <c r="K113" s="130" t="inlineStr">
        <is>
          <t>비고</t>
        </is>
      </c>
      <c r="L113" s="130" t="inlineStr">
        <is>
          <t>신뢰도</t>
        </is>
      </c>
    </row>
    <row r="114" ht="15" customHeight="1" s="78">
      <c r="A114" s="77" t="inlineStr">
        <is>
          <t>MAIN</t>
        </is>
      </c>
      <c r="B114" s="77" t="inlineStr">
        <is>
          <t>4</t>
        </is>
      </c>
      <c r="C114" s="77" t="inlineStr">
        <is>
          <t>30</t>
        </is>
      </c>
      <c r="D114" s="77" t="inlineStr">
        <is>
          <t>MAIN</t>
        </is>
      </c>
      <c r="E114" s="101" t="inlineStr">
        <is>
          <t>간선</t>
        </is>
      </c>
      <c r="F114" s="77" t="inlineStr">
        <is>
          <t>F-CV 4C 16㎟</t>
        </is>
      </c>
      <c r="G114" s="77" t="inlineStr">
        <is>
          <t>4C</t>
        </is>
      </c>
      <c r="H114" s="77" t="inlineStr">
        <is>
          <t>ST 28</t>
        </is>
      </c>
      <c r="I114" s="77" t="inlineStr">
        <is>
          <t>ST</t>
        </is>
      </c>
      <c r="J114" s="101" t="inlineStr">
        <is>
          <t>● 도체 OK</t>
        </is>
      </c>
      <c r="K114" s="101" t="inlineStr">
        <is>
          <t>간선/분기</t>
        </is>
      </c>
      <c r="L114" s="77" t="inlineStr">
        <is>
          <t>●</t>
        </is>
      </c>
    </row>
    <row r="115" ht="15" customHeight="1" s="78">
      <c r="A115" s="77" t="inlineStr">
        <is>
          <t>1</t>
        </is>
      </c>
      <c r="B115" s="77" t="inlineStr">
        <is>
          <t>2</t>
        </is>
      </c>
      <c r="C115" s="77" t="inlineStr">
        <is>
          <t>30</t>
        </is>
      </c>
      <c r="D115" s="77" t="inlineStr">
        <is>
          <t>P1 (온수펌프1)</t>
        </is>
      </c>
      <c r="E115" s="101" t="inlineStr">
        <is>
          <t>동력</t>
        </is>
      </c>
      <c r="F115" s="77" t="inlineStr">
        <is>
          <t>HFIX 4㎟ 3C</t>
        </is>
      </c>
      <c r="G115" s="77" t="inlineStr">
        <is>
          <t>3C</t>
        </is>
      </c>
      <c r="H115" s="77" t="inlineStr">
        <is>
          <t>ST 22</t>
        </is>
      </c>
      <c r="I115" s="77" t="inlineStr">
        <is>
          <t>ST</t>
        </is>
      </c>
      <c r="J115" s="77" t="inlineStr">
        <is>
          <t>● ≥2.5㎟</t>
        </is>
      </c>
      <c r="K115" s="101" t="inlineStr">
        <is>
          <t>펌프/셔터</t>
        </is>
      </c>
      <c r="L115" s="77" t="inlineStr">
        <is>
          <t>●</t>
        </is>
      </c>
    </row>
    <row r="116" ht="15" customHeight="1" s="78">
      <c r="A116" s="77" t="inlineStr">
        <is>
          <t>2</t>
        </is>
      </c>
      <c r="B116" s="77" t="inlineStr">
        <is>
          <t>2</t>
        </is>
      </c>
      <c r="C116" s="77" t="inlineStr">
        <is>
          <t>30</t>
        </is>
      </c>
      <c r="D116" s="77" t="inlineStr">
        <is>
          <t>EW1 (전기온수기1)</t>
        </is>
      </c>
      <c r="E116" s="101" t="inlineStr">
        <is>
          <t>온수</t>
        </is>
      </c>
      <c r="F116" s="77" t="inlineStr">
        <is>
          <t>HFIX 4㎟ 3C</t>
        </is>
      </c>
      <c r="G116" s="77" t="inlineStr">
        <is>
          <t>3C</t>
        </is>
      </c>
      <c r="H116" s="77" t="inlineStr">
        <is>
          <t>ST 22</t>
        </is>
      </c>
      <c r="I116" s="77" t="inlineStr">
        <is>
          <t>ST</t>
        </is>
      </c>
      <c r="J116" s="77" t="inlineStr">
        <is>
          <t>● ≥2.5㎟</t>
        </is>
      </c>
      <c r="K116" s="101" t="inlineStr">
        <is>
          <t>온수기/히터</t>
        </is>
      </c>
      <c r="L116" s="77" t="inlineStr">
        <is>
          <t>●</t>
        </is>
      </c>
    </row>
    <row r="117" ht="15" customHeight="1" s="78">
      <c r="A117" s="77" t="inlineStr">
        <is>
          <t>3</t>
        </is>
      </c>
      <c r="B117" s="77" t="inlineStr">
        <is>
          <t>2</t>
        </is>
      </c>
      <c r="C117" s="77" t="inlineStr">
        <is>
          <t>30</t>
        </is>
      </c>
      <c r="D117" s="77" t="inlineStr">
        <is>
          <t>EW2 (전기온수기2)</t>
        </is>
      </c>
      <c r="E117" s="101" t="inlineStr">
        <is>
          <t>온수</t>
        </is>
      </c>
      <c r="F117" s="77" t="inlineStr">
        <is>
          <t>HFIX 4㎟ 3C</t>
        </is>
      </c>
      <c r="G117" s="77" t="inlineStr">
        <is>
          <t>3C</t>
        </is>
      </c>
      <c r="H117" s="77" t="inlineStr">
        <is>
          <t>ST 22</t>
        </is>
      </c>
      <c r="I117" s="77" t="inlineStr">
        <is>
          <t>ST</t>
        </is>
      </c>
      <c r="J117" s="77" t="inlineStr">
        <is>
          <t>● ≥2.5㎟</t>
        </is>
      </c>
      <c r="K117" s="101" t="inlineStr">
        <is>
          <t>온수기/히터</t>
        </is>
      </c>
      <c r="L117" s="77" t="inlineStr">
        <is>
          <t>●</t>
        </is>
      </c>
    </row>
    <row r="118" ht="15" customHeight="1" s="78">
      <c r="A118" s="77" t="inlineStr">
        <is>
          <t>4</t>
        </is>
      </c>
      <c r="B118" s="77" t="inlineStr">
        <is>
          <t>2</t>
        </is>
      </c>
      <c r="C118" s="77" t="inlineStr">
        <is>
          <t>30</t>
        </is>
      </c>
      <c r="D118" s="77" t="inlineStr">
        <is>
          <t>EW3 (전기온수기3)</t>
        </is>
      </c>
      <c r="E118" s="101" t="inlineStr">
        <is>
          <t>온수</t>
        </is>
      </c>
      <c r="F118" s="77" t="inlineStr">
        <is>
          <t>HFIX 4㎟ 3C</t>
        </is>
      </c>
      <c r="G118" s="77" t="inlineStr">
        <is>
          <t>3C</t>
        </is>
      </c>
      <c r="H118" s="77" t="inlineStr">
        <is>
          <t>ST 22</t>
        </is>
      </c>
      <c r="I118" s="77" t="inlineStr">
        <is>
          <t>ST</t>
        </is>
      </c>
      <c r="J118" s="77" t="inlineStr">
        <is>
          <t>● ≥2.5㎟</t>
        </is>
      </c>
      <c r="K118" s="101" t="inlineStr">
        <is>
          <t>온수기/히터</t>
        </is>
      </c>
      <c r="L118" s="77" t="inlineStr">
        <is>
          <t>●</t>
        </is>
      </c>
    </row>
    <row r="119" ht="15" customHeight="1" s="78">
      <c r="A119" s="77" t="inlineStr">
        <is>
          <t>5</t>
        </is>
      </c>
      <c r="B119" s="77" t="inlineStr">
        <is>
          <t>2</t>
        </is>
      </c>
      <c r="C119" s="77" t="inlineStr">
        <is>
          <t>30</t>
        </is>
      </c>
      <c r="D119" s="77" t="inlineStr">
        <is>
          <t>EW4 (전기온수기4)</t>
        </is>
      </c>
      <c r="E119" s="101" t="inlineStr">
        <is>
          <t>온수</t>
        </is>
      </c>
      <c r="F119" s="77" t="inlineStr">
        <is>
          <t>HFIX 4㎟ 3C</t>
        </is>
      </c>
      <c r="G119" s="77" t="inlineStr">
        <is>
          <t>3C</t>
        </is>
      </c>
      <c r="H119" s="77" t="inlineStr">
        <is>
          <t>ST 22</t>
        </is>
      </c>
      <c r="I119" s="77" t="inlineStr">
        <is>
          <t>ST</t>
        </is>
      </c>
      <c r="J119" s="77" t="inlineStr">
        <is>
          <t>● ≥2.5㎟</t>
        </is>
      </c>
      <c r="K119" s="101" t="inlineStr">
        <is>
          <t>온수기/히터</t>
        </is>
      </c>
      <c r="L119" s="77" t="inlineStr">
        <is>
          <t>●</t>
        </is>
      </c>
    </row>
    <row r="120" ht="15" customHeight="1" s="78">
      <c r="A120" s="77" t="inlineStr">
        <is>
          <t>6</t>
        </is>
      </c>
      <c r="B120" s="77" t="inlineStr">
        <is>
          <t>2</t>
        </is>
      </c>
      <c r="C120" s="77" t="inlineStr">
        <is>
          <t>30</t>
        </is>
      </c>
      <c r="D120" s="77" t="inlineStr">
        <is>
          <t>P2 (온수펌프2)</t>
        </is>
      </c>
      <c r="E120" s="101" t="inlineStr">
        <is>
          <t>동력</t>
        </is>
      </c>
      <c r="F120" s="77" t="inlineStr">
        <is>
          <t>HFIX 4㎟ 3C</t>
        </is>
      </c>
      <c r="G120" s="77" t="inlineStr">
        <is>
          <t>3C</t>
        </is>
      </c>
      <c r="H120" s="77" t="inlineStr">
        <is>
          <t>ST 22</t>
        </is>
      </c>
      <c r="I120" s="77" t="inlineStr">
        <is>
          <t>ST</t>
        </is>
      </c>
      <c r="J120" s="77" t="inlineStr">
        <is>
          <t>● ≥2.5㎟</t>
        </is>
      </c>
      <c r="K120" s="101" t="inlineStr">
        <is>
          <t>펌프/셔터</t>
        </is>
      </c>
      <c r="L120" s="77" t="inlineStr">
        <is>
          <t>●</t>
        </is>
      </c>
    </row>
    <row r="121" ht="15" customHeight="1" s="78">
      <c r="A121" s="77" t="inlineStr">
        <is>
          <t>7</t>
        </is>
      </c>
      <c r="B121" s="77" t="inlineStr">
        <is>
          <t>1</t>
        </is>
      </c>
      <c r="C121" s="77" t="inlineStr">
        <is>
          <t>-</t>
        </is>
      </c>
      <c r="D121" s="77" t="inlineStr">
        <is>
          <t>SPARE</t>
        </is>
      </c>
      <c r="E121" s="101" t="inlineStr">
        <is>
          <t>예비</t>
        </is>
      </c>
      <c r="F121" s="77" t="inlineStr">
        <is>
          <t>-</t>
        </is>
      </c>
      <c r="G121" s="77" t="inlineStr">
        <is>
          <t>-</t>
        </is>
      </c>
      <c r="H121" s="77" t="inlineStr">
        <is>
          <t>-</t>
        </is>
      </c>
      <c r="I121" s="77" t="inlineStr">
        <is>
          <t>-</t>
        </is>
      </c>
      <c r="J121" s="77" t="inlineStr">
        <is>
          <t>-</t>
        </is>
      </c>
      <c r="K121" s="101" t="inlineStr">
        <is>
          <t>산출 제외</t>
        </is>
      </c>
      <c r="L121" s="77" t="inlineStr">
        <is>
          <t>-</t>
        </is>
      </c>
    </row>
  </sheetData>
  <mergeCells count="5">
    <mergeCell ref="A73:L73"/>
    <mergeCell ref="A99:L99"/>
    <mergeCell ref="A1:L1"/>
    <mergeCell ref="A8:L8"/>
    <mergeCell ref="A39:L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77" min="1" max="1"/>
    <col width="18" customWidth="1" style="77" min="2" max="2"/>
    <col width="30" customWidth="1" style="77" min="3" max="3"/>
    <col width="18" customWidth="1" style="77" min="4" max="5"/>
    <col width="12" customWidth="1" style="77" min="6" max="6"/>
    <col width="30" customWidth="1" style="77" min="7" max="7"/>
  </cols>
  <sheetData>
    <row r="1" ht="15" customHeight="1" s="78">
      <c r="A1" s="132" t="inlineStr">
        <is>
          <t>STEP 3.5 교차검증 — 6항목 (전원: 3상 4선식 380V/220V)</t>
        </is>
      </c>
    </row>
    <row r="2" ht="15" customHeight="1" s="78">
      <c r="A2" s="122" t="inlineStr">
        <is>
          <t>① 분전반 ↔ 조명 범례 회로수 검증</t>
        </is>
      </c>
    </row>
    <row r="3" ht="15" customHeight="1" s="78">
      <c r="A3" s="133" t="inlineStr">
        <is>
          <t>No</t>
        </is>
      </c>
      <c r="B3" s="123" t="inlineStr">
        <is>
          <t>검증항목</t>
        </is>
      </c>
      <c r="C3" s="123" t="inlineStr">
        <is>
          <t>비교내용</t>
        </is>
      </c>
      <c r="D3" s="123" t="inlineStr">
        <is>
          <t>기준값</t>
        </is>
      </c>
      <c r="E3" s="123" t="inlineStr">
        <is>
          <t>실측값</t>
        </is>
      </c>
      <c r="F3" s="123" t="inlineStr">
        <is>
          <t>판정</t>
        </is>
      </c>
      <c r="G3" s="123" t="inlineStr">
        <is>
          <t>비고</t>
        </is>
      </c>
    </row>
    <row r="4" ht="23.25" customHeight="1" s="78">
      <c r="A4" s="134" t="n">
        <v>1</v>
      </c>
      <c r="B4" s="135" t="inlineStr">
        <is>
          <t>조명 회로 vs 조명 범례</t>
        </is>
      </c>
      <c r="C4" s="136" t="inlineStr">
        <is>
          <t>L 회로 4개(LP-1M L1, LP-E L2, LP-2M L1·L2)</t>
        </is>
      </c>
      <c r="D4" s="134" t="inlineStr">
        <is>
          <t>≥3 회로</t>
        </is>
      </c>
      <c r="E4" s="134" t="inlineStr">
        <is>
          <t>4 회로</t>
        </is>
      </c>
      <c r="F4" s="134" t="inlineStr">
        <is>
          <t>✅ PASS</t>
        </is>
      </c>
      <c r="G4" s="136" t="inlineStr">
        <is>
          <t>2개 층 분리, 정상</t>
        </is>
      </c>
    </row>
    <row r="5" ht="15" customHeight="1" s="78">
      <c r="A5" s="134" t="n">
        <v>2</v>
      </c>
      <c r="B5" s="135" t="inlineStr">
        <is>
          <t>조명 회로당 등기구 분배</t>
        </is>
      </c>
      <c r="C5" s="137" t="inlineStr">
        <is>
          <t>범례 10종 ÷ 4회로 = 평균 2.5</t>
        </is>
      </c>
      <c r="D5" s="134" t="inlineStr">
        <is>
          <t>≤4 (회로 과부하 방지)</t>
        </is>
      </c>
      <c r="E5" s="134" t="inlineStr">
        <is>
          <t>2.5</t>
        </is>
      </c>
      <c r="F5" s="134" t="inlineStr">
        <is>
          <t>✅ PASS</t>
        </is>
      </c>
      <c r="G5" s="137" t="inlineStr">
        <is>
          <t>적정 분산</t>
        </is>
      </c>
    </row>
    <row r="6" ht="15" customHeight="1" s="78">
      <c r="A6" s="122" t="inlineStr">
        <is>
          <t>② 분전반 ↔ Cable Schedule 검증</t>
        </is>
      </c>
    </row>
    <row r="7" ht="15" customHeight="1" s="78">
      <c r="A7" s="133" t="inlineStr">
        <is>
          <t>No</t>
        </is>
      </c>
      <c r="B7" s="123" t="inlineStr">
        <is>
          <t>검증항목</t>
        </is>
      </c>
      <c r="C7" s="123" t="inlineStr">
        <is>
          <t>비교내용</t>
        </is>
      </c>
      <c r="D7" s="123" t="inlineStr">
        <is>
          <t>기준값</t>
        </is>
      </c>
      <c r="E7" s="123" t="inlineStr">
        <is>
          <t>실측값</t>
        </is>
      </c>
      <c r="F7" s="123" t="inlineStr">
        <is>
          <t>판정</t>
        </is>
      </c>
      <c r="G7" s="123" t="inlineStr">
        <is>
          <t>비고</t>
        </is>
      </c>
    </row>
    <row r="8" ht="15" customHeight="1" s="78">
      <c r="A8" s="138" t="n">
        <v>3</v>
      </c>
      <c r="B8" s="138" t="inlineStr">
        <is>
          <t>Cable Schedule 존재</t>
        </is>
      </c>
      <c r="C8" s="139" t="inlineStr">
        <is>
          <t>E-001~E-004 결선도 외 별도 스케줄</t>
        </is>
      </c>
      <c r="D8" s="138" t="inlineStr">
        <is>
          <t>-</t>
        </is>
      </c>
      <c r="E8" s="140" t="inlineStr">
        <is>
          <t>미수록</t>
        </is>
      </c>
      <c r="F8" s="138" t="inlineStr">
        <is>
          <t>⏭ SKIP</t>
        </is>
      </c>
      <c r="G8" s="141" t="inlineStr">
        <is>
          <t>간선 산출은 직접 추정 — 신뢰도 ◆</t>
        </is>
      </c>
    </row>
    <row r="9" ht="15" customHeight="1" s="78">
      <c r="A9" s="122" t="inlineStr">
        <is>
          <t>③ 부하 총합 vs MAIN 차단기 적정성 (KEC 212.4)</t>
        </is>
      </c>
    </row>
    <row r="10" ht="23.25" customHeight="1" s="78">
      <c r="A10" s="133" t="inlineStr">
        <is>
          <t>No</t>
        </is>
      </c>
      <c r="B10" s="123" t="inlineStr">
        <is>
          <t>분전반</t>
        </is>
      </c>
      <c r="C10" s="123" t="inlineStr">
        <is>
          <t>총부하 추정 (kW)</t>
        </is>
      </c>
      <c r="D10" s="133" t="inlineStr">
        <is>
          <t>IB (3상380V·PF0.85)</t>
        </is>
      </c>
      <c r="E10" s="133" t="inlineStr">
        <is>
          <t>In (차단기)</t>
        </is>
      </c>
      <c r="F10" s="123" t="inlineStr">
        <is>
          <t>판정</t>
        </is>
      </c>
      <c r="G10" s="123" t="inlineStr">
        <is>
          <t>비고</t>
        </is>
      </c>
    </row>
    <row r="11" ht="15" customHeight="1" s="78">
      <c r="A11" s="134" t="n">
        <v>4</v>
      </c>
      <c r="B11" s="134" t="inlineStr">
        <is>
          <t>LP-1M (1F)</t>
        </is>
      </c>
      <c r="C11" s="136" t="inlineStr">
        <is>
          <t>≈ 53.7</t>
        </is>
      </c>
      <c r="D11" s="134" t="inlineStr">
        <is>
          <t>96 A</t>
        </is>
      </c>
      <c r="E11" s="134" t="inlineStr">
        <is>
          <t>250 A</t>
        </is>
      </c>
      <c r="F11" s="134" t="inlineStr">
        <is>
          <t>✅ PASS</t>
        </is>
      </c>
      <c r="G11" s="137" t="inlineStr">
        <is>
          <t>여유 충분 (250÷96=2.6)</t>
        </is>
      </c>
    </row>
    <row r="12" ht="23.25" customHeight="1" s="78">
      <c r="A12" s="138" t="n">
        <v>5</v>
      </c>
      <c r="B12" s="138" t="inlineStr">
        <is>
          <t>LP-E (1F·비상)</t>
        </is>
      </c>
      <c r="C12" s="139" t="inlineStr">
        <is>
          <t>≈ 34.7</t>
        </is>
      </c>
      <c r="D12" s="138" t="inlineStr">
        <is>
          <t>62 A (동시율0.5 → 31A)</t>
        </is>
      </c>
      <c r="E12" s="138" t="inlineStr">
        <is>
          <t>30 A 또는 50 A ?</t>
        </is>
      </c>
      <c r="F12" s="138" t="inlineStr">
        <is>
          <t>🟡 WARN</t>
        </is>
      </c>
      <c r="G12" s="139" t="inlineStr">
        <is>
          <t>MAIN 차단기 30A 판독 ↔ LP-1M PNL 분기 50A 와 불일치 (재판독 필요)</t>
        </is>
      </c>
    </row>
    <row r="13" ht="15" customHeight="1" s="78">
      <c r="A13" s="134" t="n">
        <v>6</v>
      </c>
      <c r="B13" s="134" t="inlineStr">
        <is>
          <t>LP-2M (2F)</t>
        </is>
      </c>
      <c r="C13" s="136" t="inlineStr">
        <is>
          <t>≈ 24.8</t>
        </is>
      </c>
      <c r="D13" s="134" t="inlineStr">
        <is>
          <t>44 A</t>
        </is>
      </c>
      <c r="E13" s="134" t="inlineStr">
        <is>
          <t>75 A</t>
        </is>
      </c>
      <c r="F13" s="134" t="inlineStr">
        <is>
          <t>✅ PASS</t>
        </is>
      </c>
      <c r="G13" s="137" t="inlineStr">
        <is>
          <t>여유 충분</t>
        </is>
      </c>
    </row>
    <row r="14" ht="15" customHeight="1" s="78">
      <c r="A14" s="134" t="n">
        <v>7</v>
      </c>
      <c r="B14" s="135" t="inlineStr">
        <is>
          <t>온수기전원반 (2F)</t>
        </is>
      </c>
      <c r="C14" s="136" t="inlineStr">
        <is>
          <t>≈ 15.0</t>
        </is>
      </c>
      <c r="D14" s="134" t="inlineStr">
        <is>
          <t>27 A</t>
        </is>
      </c>
      <c r="E14" s="134" t="inlineStr">
        <is>
          <t>30 A</t>
        </is>
      </c>
      <c r="F14" s="134" t="inlineStr">
        <is>
          <t>✅ PASS</t>
        </is>
      </c>
      <c r="G14" s="137" t="inlineStr">
        <is>
          <t>빠듯하나 적정 (90%)</t>
        </is>
      </c>
    </row>
    <row r="15" ht="15" customHeight="1" s="78">
      <c r="A15" s="122" t="inlineStr">
        <is>
          <t>④ 도체 최소단면적 검증 (KEC 232.18)</t>
        </is>
      </c>
    </row>
    <row r="16" ht="15" customHeight="1" s="78">
      <c r="A16" s="133" t="inlineStr">
        <is>
          <t>No</t>
        </is>
      </c>
      <c r="B16" s="123" t="inlineStr">
        <is>
          <t>회로 분류</t>
        </is>
      </c>
      <c r="C16" s="123" t="inlineStr">
        <is>
          <t>적용 전선</t>
        </is>
      </c>
      <c r="D16" s="133" t="inlineStr">
        <is>
          <t>KEC 최소</t>
        </is>
      </c>
      <c r="E16" s="123" t="inlineStr">
        <is>
          <t>판정</t>
        </is>
      </c>
      <c r="F16" s="123" t="inlineStr">
        <is>
          <t>해당 회로 수</t>
        </is>
      </c>
      <c r="G16" s="123" t="inlineStr">
        <is>
          <t>비고</t>
        </is>
      </c>
    </row>
    <row r="17" ht="23.25" customHeight="1" s="78">
      <c r="A17" s="134" t="n">
        <v>8</v>
      </c>
      <c r="B17" s="135" t="inlineStr">
        <is>
          <t>전등 회로 (L·EX·DC·SIGN)</t>
        </is>
      </c>
      <c r="C17" s="136" t="inlineStr">
        <is>
          <t>HFIX 2.5㎟</t>
        </is>
      </c>
      <c r="D17" s="134" t="inlineStr">
        <is>
          <t>≥1.5㎟</t>
        </is>
      </c>
      <c r="E17" s="134" t="inlineStr">
        <is>
          <t>✅ PASS</t>
        </is>
      </c>
      <c r="F17" s="134" t="n">
        <v>10</v>
      </c>
      <c r="G17" s="137" t="inlineStr">
        <is>
          <t>여유 1단계 상향</t>
        </is>
      </c>
    </row>
    <row r="18" ht="15" customHeight="1" s="78">
      <c r="A18" s="134" t="n">
        <v>9</v>
      </c>
      <c r="B18" s="135" t="inlineStr">
        <is>
          <t>콘센트·전열 (R·K·온수)</t>
        </is>
      </c>
      <c r="C18" s="136" t="inlineStr">
        <is>
          <t>HFIX 4㎟</t>
        </is>
      </c>
      <c r="D18" s="134" t="inlineStr">
        <is>
          <t>≥2.5㎟</t>
        </is>
      </c>
      <c r="E18" s="134" t="inlineStr">
        <is>
          <t>✅ PASS</t>
        </is>
      </c>
      <c r="F18" s="134" t="n">
        <v>42</v>
      </c>
      <c r="G18" s="137" t="inlineStr">
        <is>
          <t>여유 1단계 상향</t>
        </is>
      </c>
    </row>
    <row r="19" ht="34.5" customHeight="1" s="78">
      <c r="A19" s="134" t="n">
        <v>10</v>
      </c>
      <c r="B19" s="135" t="inlineStr">
        <is>
          <t>동력 (OAC·CDU·EF·ERV·P·H·A)</t>
        </is>
      </c>
      <c r="C19" s="136" t="inlineStr">
        <is>
          <t>HFIX 4㎟ / 6㎟</t>
        </is>
      </c>
      <c r="D19" s="134" t="inlineStr">
        <is>
          <t>≥2.5㎟</t>
        </is>
      </c>
      <c r="E19" s="134" t="inlineStr">
        <is>
          <t>✅ PASS</t>
        </is>
      </c>
      <c r="F19" s="134" t="n">
        <v>19</v>
      </c>
      <c r="G19" s="136" t="inlineStr">
        <is>
          <t>EF-2 6㎟ 별도</t>
        </is>
      </c>
    </row>
    <row r="20" ht="15" customHeight="1" s="78">
      <c r="A20" s="134" t="n">
        <v>11</v>
      </c>
      <c r="B20" s="135" t="inlineStr">
        <is>
          <t>신호 (SP·ER)</t>
        </is>
      </c>
      <c r="C20" s="136" t="inlineStr">
        <is>
          <t>HFIX 1.5㎟ 2C</t>
        </is>
      </c>
      <c r="D20" s="134" t="inlineStr">
        <is>
          <t>≥1.5㎟</t>
        </is>
      </c>
      <c r="E20" s="134" t="inlineStr">
        <is>
          <t>✅ PASS</t>
        </is>
      </c>
      <c r="F20" s="134" t="n">
        <v>9</v>
      </c>
      <c r="G20" s="137" t="inlineStr">
        <is>
          <t>소방·통신</t>
        </is>
      </c>
    </row>
    <row r="21" ht="15" customHeight="1" s="78">
      <c r="A21" s="134" t="n">
        <v>12</v>
      </c>
      <c r="B21" s="135" t="inlineStr">
        <is>
          <t>간선 (PNL·MAIN)</t>
        </is>
      </c>
      <c r="C21" s="136" t="inlineStr">
        <is>
          <t>F-CV 4C 10~70㎟</t>
        </is>
      </c>
      <c r="D21" s="134" t="inlineStr">
        <is>
          <t>≥6㎟ (간선)</t>
        </is>
      </c>
      <c r="E21" s="134" t="inlineStr">
        <is>
          <t>✅ PASS</t>
        </is>
      </c>
      <c r="F21" s="134" t="n">
        <v>4</v>
      </c>
      <c r="G21" s="137" t="inlineStr">
        <is>
          <t>간선 별도 산출</t>
        </is>
      </c>
    </row>
    <row r="22" ht="15" customHeight="1" s="78">
      <c r="A22" s="122" t="inlineStr">
        <is>
          <t>⑤ 과전류보호 검증 IB ≤ In ≤ IZ (KEC 212.4) — 표본 회로</t>
        </is>
      </c>
    </row>
    <row r="23" ht="15" customHeight="1" s="78">
      <c r="A23" s="133" t="inlineStr">
        <is>
          <t>No</t>
        </is>
      </c>
      <c r="B23" s="123" t="inlineStr">
        <is>
          <t>대표회로</t>
        </is>
      </c>
      <c r="C23" s="133" t="inlineStr">
        <is>
          <t>IB(추정)</t>
        </is>
      </c>
      <c r="D23" s="133" t="inlineStr">
        <is>
          <t>In(차단기)</t>
        </is>
      </c>
      <c r="E23" s="133" t="inlineStr">
        <is>
          <t>IZ(전선허용)</t>
        </is>
      </c>
      <c r="F23" s="123" t="inlineStr">
        <is>
          <t>판정</t>
        </is>
      </c>
      <c r="G23" s="123" t="inlineStr">
        <is>
          <t>비고</t>
        </is>
      </c>
    </row>
    <row r="24" ht="23.25" customHeight="1" s="78">
      <c r="A24" s="134" t="n">
        <v>13</v>
      </c>
      <c r="B24" s="134" t="inlineStr">
        <is>
          <t>K-주방기기 (HFIX 4㎟ 3C)</t>
        </is>
      </c>
      <c r="C24" s="136" t="inlineStr">
        <is>
          <t>9 A</t>
        </is>
      </c>
      <c r="D24" s="134" t="inlineStr">
        <is>
          <t>20 A</t>
        </is>
      </c>
      <c r="E24" s="134" t="inlineStr">
        <is>
          <t>32 A</t>
        </is>
      </c>
      <c r="F24" s="134" t="inlineStr">
        <is>
          <t>✅ PASS</t>
        </is>
      </c>
      <c r="G24" s="136" t="inlineStr">
        <is>
          <t>2kW 단상 기준</t>
        </is>
      </c>
    </row>
    <row r="25" ht="23.25" customHeight="1" s="78">
      <c r="A25" s="134" t="n">
        <v>14</v>
      </c>
      <c r="B25" s="134" t="inlineStr">
        <is>
          <t>L-조명 (HFIX 2.5㎟ 3C)</t>
        </is>
      </c>
      <c r="C25" s="136" t="inlineStr">
        <is>
          <t>7 A</t>
        </is>
      </c>
      <c r="D25" s="134" t="inlineStr">
        <is>
          <t>20 A</t>
        </is>
      </c>
      <c r="E25" s="134" t="inlineStr">
        <is>
          <t>24 A</t>
        </is>
      </c>
      <c r="F25" s="134" t="inlineStr">
        <is>
          <t>✅ PASS</t>
        </is>
      </c>
      <c r="G25" s="136" t="inlineStr">
        <is>
          <t>1.5kW 단상</t>
        </is>
      </c>
    </row>
    <row r="26" ht="23.25" customHeight="1" s="78">
      <c r="A26" s="134" t="n">
        <v>15</v>
      </c>
      <c r="B26" s="134" t="inlineStr">
        <is>
          <t>EF-2 (HFIX 6㎟ 4C, 7.5kW 3상)</t>
        </is>
      </c>
      <c r="C26" s="136" t="inlineStr">
        <is>
          <t>13 A</t>
        </is>
      </c>
      <c r="D26" s="134" t="inlineStr">
        <is>
          <t>30 A</t>
        </is>
      </c>
      <c r="E26" s="134" t="inlineStr">
        <is>
          <t>41 A</t>
        </is>
      </c>
      <c r="F26" s="134" t="inlineStr">
        <is>
          <t>✅ PASS</t>
        </is>
      </c>
      <c r="G26" s="136" t="inlineStr">
        <is>
          <t>3상 380V</t>
        </is>
      </c>
    </row>
    <row r="27" ht="23.25" customHeight="1" s="78">
      <c r="A27" s="134" t="n">
        <v>16</v>
      </c>
      <c r="B27" s="134" t="inlineStr">
        <is>
          <t>OAC-1 실외기 (HFIX 4㎟ 4C, 5kW)</t>
        </is>
      </c>
      <c r="C27" s="136" t="inlineStr">
        <is>
          <t>9 A</t>
        </is>
      </c>
      <c r="D27" s="134" t="inlineStr">
        <is>
          <t>30 A</t>
        </is>
      </c>
      <c r="E27" s="134" t="inlineStr">
        <is>
          <t>32 A</t>
        </is>
      </c>
      <c r="F27" s="134" t="inlineStr">
        <is>
          <t>✅ PASS</t>
        </is>
      </c>
      <c r="G27" s="136" t="inlineStr">
        <is>
          <t>-</t>
        </is>
      </c>
    </row>
    <row r="28" ht="23.25" customHeight="1" s="78">
      <c r="A28" s="138" t="n">
        <v>17</v>
      </c>
      <c r="B28" s="138" t="inlineStr">
        <is>
          <t>PNL→LP-E 간선 (F-CV 16㎟)</t>
        </is>
      </c>
      <c r="C28" s="139" t="inlineStr">
        <is>
          <t>62 A</t>
        </is>
      </c>
      <c r="D28" s="138" t="inlineStr">
        <is>
          <t>50 A</t>
        </is>
      </c>
      <c r="E28" s="138" t="inlineStr">
        <is>
          <t>75 A</t>
        </is>
      </c>
      <c r="F28" s="138" t="inlineStr">
        <is>
          <t>🟡 WARN</t>
        </is>
      </c>
      <c r="G28" s="139" t="inlineStr">
        <is>
          <t>LP-E MAIN 30A 가정 시 위반 → 50A 권장</t>
        </is>
      </c>
    </row>
    <row r="29" ht="15" customHeight="1" s="78">
      <c r="A29" s="122" t="inlineStr">
        <is>
          <t>⑥ 전압강하 검증 (KEC B9 / KECS 1505) — 간선 구간</t>
        </is>
      </c>
    </row>
    <row r="30" ht="15" customHeight="1" s="78">
      <c r="A30" s="133" t="inlineStr">
        <is>
          <t>No</t>
        </is>
      </c>
      <c r="B30" s="123" t="inlineStr">
        <is>
          <t>구간</t>
        </is>
      </c>
      <c r="C30" s="123" t="inlineStr">
        <is>
          <t>길이(m)</t>
        </is>
      </c>
      <c r="D30" s="133" t="inlineStr">
        <is>
          <t>I(A)</t>
        </is>
      </c>
      <c r="E30" s="133" t="inlineStr">
        <is>
          <t>S(㎟)</t>
        </is>
      </c>
      <c r="F30" s="133" t="inlineStr">
        <is>
          <t>e% 계산</t>
        </is>
      </c>
      <c r="G30" s="123" t="inlineStr">
        <is>
          <t>판정 (≤2%)</t>
        </is>
      </c>
    </row>
    <row r="31" ht="23.25" customHeight="1" s="78">
      <c r="A31" s="134" t="n">
        <v>18</v>
      </c>
      <c r="B31" s="135" t="inlineStr">
        <is>
          <t>옥상→LP-1M F-CV 70㎟</t>
        </is>
      </c>
      <c r="C31" s="136" t="n">
        <v>30</v>
      </c>
      <c r="D31" s="134" t="n">
        <v>96</v>
      </c>
      <c r="E31" s="134" t="n">
        <v>70</v>
      </c>
      <c r="F31" s="134" t="inlineStr">
        <is>
          <t>0.334%</t>
        </is>
      </c>
      <c r="G31" s="136" t="inlineStr">
        <is>
          <t>✅ PASS</t>
        </is>
      </c>
    </row>
    <row r="32" ht="23.25" customHeight="1" s="78">
      <c r="A32" s="134" t="n">
        <v>19</v>
      </c>
      <c r="B32" s="135" t="inlineStr">
        <is>
          <t>옥상→LP-2M F-CV 16㎟</t>
        </is>
      </c>
      <c r="C32" s="136" t="n">
        <v>24</v>
      </c>
      <c r="D32" s="134" t="n">
        <v>44</v>
      </c>
      <c r="E32" s="134" t="n">
        <v>16</v>
      </c>
      <c r="F32" s="134" t="inlineStr">
        <is>
          <t>0.535%</t>
        </is>
      </c>
      <c r="G32" s="136" t="inlineStr">
        <is>
          <t>✅ PASS</t>
        </is>
      </c>
    </row>
    <row r="33" ht="23.25" customHeight="1" s="78">
      <c r="A33" s="134" t="n">
        <v>20</v>
      </c>
      <c r="B33" s="134" t="inlineStr">
        <is>
          <t>LP-1M→LP-E F-CV 16㎟</t>
        </is>
      </c>
      <c r="C33" s="136" t="n">
        <v>3</v>
      </c>
      <c r="D33" s="134" t="n">
        <v>62</v>
      </c>
      <c r="E33" s="134" t="n">
        <v>16</v>
      </c>
      <c r="F33" s="134" t="inlineStr">
        <is>
          <t>0.094%</t>
        </is>
      </c>
      <c r="G33" s="136" t="inlineStr">
        <is>
          <t>✅ PASS</t>
        </is>
      </c>
    </row>
    <row r="34" ht="23.25" customHeight="1" s="78">
      <c r="A34" s="134" t="n">
        <v>21</v>
      </c>
      <c r="B34" s="134" t="inlineStr">
        <is>
          <t>LP-2M→온수기반 F-CV 10㎟</t>
        </is>
      </c>
      <c r="C34" s="136" t="n">
        <v>3</v>
      </c>
      <c r="D34" s="134" t="n">
        <v>27</v>
      </c>
      <c r="E34" s="134" t="n">
        <v>10</v>
      </c>
      <c r="F34" s="134" t="inlineStr">
        <is>
          <t>0.066%</t>
        </is>
      </c>
      <c r="G34" s="136" t="inlineStr">
        <is>
          <t>✅ PASS</t>
        </is>
      </c>
    </row>
    <row r="36" ht="15" customHeight="1" s="78">
      <c r="A36" s="122" t="inlineStr">
        <is>
          <t>종합 판정</t>
        </is>
      </c>
    </row>
    <row r="37" ht="15" customHeight="1" s="78">
      <c r="A37" s="123" t="inlineStr">
        <is>
          <t>구분</t>
        </is>
      </c>
      <c r="B37" s="123" t="inlineStr">
        <is>
          <t>항목</t>
        </is>
      </c>
      <c r="C37" s="123" t="inlineStr">
        <is>
          <t>건수</t>
        </is>
      </c>
      <c r="D37" s="123" t="inlineStr">
        <is>
          <t>상태</t>
        </is>
      </c>
      <c r="E37" s="133" t="n"/>
      <c r="F37" s="133" t="n"/>
      <c r="G37" s="133" t="n"/>
    </row>
    <row r="38" ht="15" customHeight="1" s="78">
      <c r="A38" s="134" t="inlineStr">
        <is>
          <t>🔴</t>
        </is>
      </c>
      <c r="B38" s="135" t="inlineStr">
        <is>
          <t>오류 (FAIL)</t>
        </is>
      </c>
      <c r="C38" s="136" t="n">
        <v>0</v>
      </c>
      <c r="D38" s="135" t="inlineStr">
        <is>
          <t>게이트 OPEN 가능</t>
        </is>
      </c>
      <c r="E38" s="134" t="n"/>
      <c r="F38" s="134" t="n"/>
      <c r="G38" s="136" t="n"/>
    </row>
    <row r="39" ht="15" customHeight="1" s="78">
      <c r="A39" s="138" t="inlineStr">
        <is>
          <t>🟡</t>
        </is>
      </c>
      <c r="B39" s="140" t="inlineStr">
        <is>
          <t>경고 (WARN)</t>
        </is>
      </c>
      <c r="C39" s="139" t="n">
        <v>2</v>
      </c>
      <c r="D39" s="140" t="inlineStr">
        <is>
          <t>사용자 확인 필요</t>
        </is>
      </c>
      <c r="E39" s="138" t="n"/>
      <c r="F39" s="138" t="n"/>
      <c r="G39" s="139" t="n"/>
    </row>
    <row r="40" ht="15" customHeight="1" s="78">
      <c r="A40" s="134" t="inlineStr">
        <is>
          <t>✅</t>
        </is>
      </c>
      <c r="B40" s="135" t="inlineStr">
        <is>
          <t>통과 (PASS)</t>
        </is>
      </c>
      <c r="C40" s="136" t="n">
        <v>18</v>
      </c>
      <c r="D40" s="134" t="inlineStr">
        <is>
          <t>-</t>
        </is>
      </c>
      <c r="E40" s="134" t="n"/>
      <c r="F40" s="134" t="n"/>
      <c r="G40" s="136" t="n"/>
    </row>
    <row r="42" ht="15" customHeight="1" s="78">
      <c r="A42" s="142" t="inlineStr">
        <is>
          <t>🟡 경고 상세</t>
        </is>
      </c>
    </row>
    <row r="43" ht="15" customHeight="1" s="78">
      <c r="A43" s="143" t="inlineStr">
        <is>
          <t>(W1) Cable Schedule 미수록 — 간선 규격은 추정값(◆), 실착공 전 한전 인입 확인 필요</t>
        </is>
      </c>
    </row>
    <row r="44" ht="15" customHeight="1" s="78">
      <c r="A44" s="143" t="inlineStr">
        <is>
          <t>(W2) LP-E MAIN 차단기 30A 판독 ↔ LP-1M #1 PNL 분기 50A ↔ 부하 IB 62A 의 3자 불일치. p4 LP-E MAIN 컬럼 재판독 또는 도면 명기치 사용자 확인 필요. 권장값: 50A</t>
        </is>
      </c>
    </row>
    <row r="46" ht="15" customHeight="1" s="78">
      <c r="A46" s="144" t="inlineStr">
        <is>
          <t>게이트 판정: 🟡 경고만 존재 → 사용자 확인 후 STEP 4 OPEN 가능 (🔴 오류 0건)</t>
        </is>
      </c>
    </row>
    <row r="48">
      <c r="A48" s="145" t="inlineStr">
        <is>
          <t>[레벨 A 결정론적 검증]</t>
        </is>
      </c>
    </row>
    <row r="49">
      <c r="A49" s="146" t="inlineStr">
        <is>
          <t>#</t>
        </is>
      </c>
      <c r="B49" s="147" t="inlineStr">
        <is>
          <t>항목</t>
        </is>
      </c>
      <c r="C49" s="146" t="inlineStr">
        <is>
          <t>비교 A</t>
        </is>
      </c>
      <c r="D49" s="146" t="inlineStr">
        <is>
          <t>비교 B</t>
        </is>
      </c>
      <c r="E49" s="146" t="inlineStr">
        <is>
          <t>오차</t>
        </is>
      </c>
      <c r="F49" s="146" t="inlineStr">
        <is>
          <t>판정</t>
        </is>
      </c>
    </row>
    <row r="50">
      <c r="A50" s="148" t="inlineStr">
        <is>
          <t>A-1</t>
        </is>
      </c>
      <c r="B50" s="149" t="inlineStr">
        <is>
          <t>공정 구분행 수 = 소계 헤더행 수</t>
        </is>
      </c>
      <c r="C50" s="148" t="n">
        <v>11</v>
      </c>
      <c r="D50" s="148" t="n">
        <v>11</v>
      </c>
      <c r="E50" s="148" t="inlineStr">
        <is>
          <t>0</t>
        </is>
      </c>
      <c r="F50" s="148" t="inlineStr">
        <is>
          <t>✅</t>
        </is>
      </c>
    </row>
    <row r="51">
      <c r="A51" s="148" t="inlineStr">
        <is>
          <t>A-2</t>
        </is>
      </c>
      <c r="B51" s="149" t="inlineStr">
        <is>
          <t>소계 자재행 ≥ 1 per 소계</t>
        </is>
      </c>
      <c r="C51" s="148" t="inlineStr">
        <is>
          <t>ALL</t>
        </is>
      </c>
      <c r="D51" s="148" t="inlineStr">
        <is>
          <t>≥1</t>
        </is>
      </c>
      <c r="E51" s="148" t="inlineStr">
        <is>
          <t>0</t>
        </is>
      </c>
      <c r="F51" s="148" t="inlineStr">
        <is>
          <t>✅</t>
        </is>
      </c>
    </row>
    <row r="52">
      <c r="A52" s="148" t="inlineStr">
        <is>
          <t>A-3</t>
        </is>
      </c>
      <c r="B52" s="149" t="inlineStr">
        <is>
          <t>배관 유형 ST관 통일</t>
        </is>
      </c>
      <c r="C52" s="148" t="inlineStr">
        <is>
          <t>ALL ST</t>
        </is>
      </c>
      <c r="D52" s="148" t="inlineStr">
        <is>
          <t>ST만</t>
        </is>
      </c>
      <c r="E52" s="148" t="inlineStr">
        <is>
          <t>0</t>
        </is>
      </c>
      <c r="F52" s="148" t="inlineStr">
        <is>
          <t>✅</t>
        </is>
      </c>
    </row>
    <row r="53">
      <c r="A53" s="148" t="inlineStr">
        <is>
          <t>A-4</t>
        </is>
      </c>
      <c r="B53" s="149" t="inlineStr">
        <is>
          <t>신뢰도 기호 전 수량행 기재</t>
        </is>
      </c>
      <c r="C53" s="148" t="inlineStr">
        <is>
          <t>ALL</t>
        </is>
      </c>
      <c r="D53" s="148" t="inlineStr">
        <is>
          <t>100%</t>
        </is>
      </c>
      <c r="E53" s="148" t="inlineStr">
        <is>
          <t>0</t>
        </is>
      </c>
      <c r="F53" s="148" t="inlineStr">
        <is>
          <t>✅</t>
        </is>
      </c>
    </row>
    <row r="54">
      <c r="A54" s="148" t="inlineStr">
        <is>
          <t>A-5</t>
        </is>
      </c>
      <c r="B54" s="149" t="inlineStr">
        <is>
          <t>공정 소계 F열 = 개별 F열 합</t>
        </is>
      </c>
      <c r="C54" s="148" t="inlineStr">
        <is>
          <t>일치</t>
        </is>
      </c>
      <c r="D54" s="148" t="inlineStr">
        <is>
          <t>일치</t>
        </is>
      </c>
      <c r="E54" s="148" t="inlineStr">
        <is>
          <t>0</t>
        </is>
      </c>
      <c r="F54" s="148" t="inlineStr">
        <is>
          <t>✅</t>
        </is>
      </c>
    </row>
    <row r="55">
      <c r="A55" s="148" t="inlineStr">
        <is>
          <t>A-6</t>
        </is>
      </c>
      <c r="B55" s="149" t="inlineStr">
        <is>
          <t>부속재 누락 여부 (커플링/커넥터/부싱/로크너트/새들)</t>
        </is>
      </c>
      <c r="C55" s="148" t="inlineStr">
        <is>
          <t>5종</t>
        </is>
      </c>
      <c r="D55" s="148" t="inlineStr">
        <is>
          <t>5종</t>
        </is>
      </c>
      <c r="E55" s="148" t="inlineStr">
        <is>
          <t>0</t>
        </is>
      </c>
      <c r="F55" s="148" t="inlineStr">
        <is>
          <t>✅</t>
        </is>
      </c>
    </row>
    <row r="56">
      <c r="A56" s="148" t="inlineStr">
        <is>
          <t>A-7</t>
        </is>
      </c>
      <c r="B56" s="149" t="inlineStr">
        <is>
          <t>지지금구 SUP 누락</t>
        </is>
      </c>
      <c r="C56" s="148" t="inlineStr">
        <is>
          <t>전 공정</t>
        </is>
      </c>
      <c r="D56" s="148" t="inlineStr">
        <is>
          <t>전 공정</t>
        </is>
      </c>
      <c r="E56" s="148" t="inlineStr">
        <is>
          <t>0</t>
        </is>
      </c>
      <c r="F56" s="148" t="inlineStr">
        <is>
          <t>✅</t>
        </is>
      </c>
    </row>
    <row r="57">
      <c r="A57" s="148" t="inlineStr">
        <is>
          <t>A-8</t>
        </is>
      </c>
      <c r="B57" s="149" t="inlineStr">
        <is>
          <t>CMN 공통소모재 누락</t>
        </is>
      </c>
      <c r="C57" s="148" t="inlineStr">
        <is>
          <t>전 공정</t>
        </is>
      </c>
      <c r="D57" s="148" t="inlineStr">
        <is>
          <t>전 공정</t>
        </is>
      </c>
      <c r="E57" s="148" t="inlineStr">
        <is>
          <t>0</t>
        </is>
      </c>
      <c r="F57" s="148" t="inlineStr">
        <is>
          <t>✅</t>
        </is>
      </c>
    </row>
    <row r="58">
      <c r="A58" s="148" t="inlineStr">
        <is>
          <t>A-9</t>
        </is>
      </c>
      <c r="B58" s="149" t="inlineStr">
        <is>
          <t>SMPS 2차측 L1/L2 계상</t>
        </is>
      </c>
      <c r="C58" s="148" t="inlineStr">
        <is>
          <t>4회로</t>
        </is>
      </c>
      <c r="D58" s="148" t="inlineStr">
        <is>
          <t>4회로</t>
        </is>
      </c>
      <c r="E58" s="148" t="inlineStr">
        <is>
          <t>0</t>
        </is>
      </c>
      <c r="F58" s="148" t="inlineStr">
        <is>
          <t>✅</t>
        </is>
      </c>
    </row>
    <row r="59">
      <c r="A59" s="148" t="inlineStr">
        <is>
          <t>A-10</t>
        </is>
      </c>
      <c r="B59" s="149" t="inlineStr">
        <is>
          <t>간선 F-CV/F-GV 분리 표기</t>
        </is>
      </c>
      <c r="C59" s="148" t="inlineStr">
        <is>
          <t>OK</t>
        </is>
      </c>
      <c r="D59" s="148" t="inlineStr">
        <is>
          <t>OK</t>
        </is>
      </c>
      <c r="E59" s="148" t="inlineStr">
        <is>
          <t>0</t>
        </is>
      </c>
      <c r="F59" s="148" t="inlineStr">
        <is>
          <t>✅</t>
        </is>
      </c>
    </row>
    <row r="60">
      <c r="A60" s="148" t="inlineStr">
        <is>
          <t>A-11</t>
        </is>
      </c>
      <c r="B60" s="149" t="inlineStr">
        <is>
          <t>회로별 이중 분류 구조</t>
        </is>
      </c>
      <c r="C60" s="148" t="inlineStr">
        <is>
          <t>공정×회로</t>
        </is>
      </c>
      <c r="D60" s="148" t="inlineStr">
        <is>
          <t>공정×회로</t>
        </is>
      </c>
      <c r="E60" s="148" t="inlineStr">
        <is>
          <t>0</t>
        </is>
      </c>
      <c r="F60" s="148" t="inlineStr">
        <is>
          <t>✅</t>
        </is>
      </c>
    </row>
    <row r="61">
      <c r="A61" s="148" t="inlineStr">
        <is>
          <t>A-12</t>
        </is>
      </c>
      <c r="B61" s="149" t="inlineStr">
        <is>
          <t>jeon_history 갱신</t>
        </is>
      </c>
      <c r="C61" s="148" t="inlineStr">
        <is>
          <t>PENDING</t>
        </is>
      </c>
      <c r="D61" s="148" t="inlineStr">
        <is>
          <t>후속</t>
        </is>
      </c>
      <c r="E61" s="148" t="inlineStr">
        <is>
          <t>0</t>
        </is>
      </c>
      <c r="F61" s="148" t="inlineStr">
        <is>
          <t>🟡</t>
        </is>
      </c>
    </row>
    <row r="62">
      <c r="A62" s="148" t="inlineStr">
        <is>
          <t>A-13</t>
        </is>
      </c>
      <c r="B62" s="149" t="inlineStr">
        <is>
          <t>합산메타 (단독 모드)</t>
        </is>
      </c>
      <c r="C62" s="148" t="inlineStr">
        <is>
          <t>SKIP</t>
        </is>
      </c>
      <c r="D62" s="148" t="inlineStr">
        <is>
          <t>단독</t>
        </is>
      </c>
      <c r="E62" s="148" t="inlineStr">
        <is>
          <t>0</t>
        </is>
      </c>
      <c r="F62" s="148" t="inlineStr">
        <is>
          <t>✅</t>
        </is>
      </c>
    </row>
    <row r="63">
      <c r="A63" s="148" t="inlineStr">
        <is>
          <t>A-14</t>
        </is>
      </c>
      <c r="B63" s="149" t="inlineStr">
        <is>
          <t>합산자재 수량 = 물량내역서 합계</t>
        </is>
      </c>
      <c r="C63" s="148" t="inlineStr">
        <is>
          <t>동일</t>
        </is>
      </c>
      <c r="D63" s="148" t="inlineStr">
        <is>
          <t>동일</t>
        </is>
      </c>
      <c r="E63" s="148" t="inlineStr">
        <is>
          <t>0</t>
        </is>
      </c>
      <c r="F63" s="148" t="inlineStr">
        <is>
          <t>✅</t>
        </is>
      </c>
    </row>
    <row r="65">
      <c r="A65" s="145" t="inlineStr">
        <is>
          <t>[KEC 검증]</t>
        </is>
      </c>
    </row>
    <row r="66">
      <c r="A66" s="146" t="inlineStr">
        <is>
          <t>#</t>
        </is>
      </c>
      <c r="B66" s="147" t="inlineStr">
        <is>
          <t>항목</t>
        </is>
      </c>
      <c r="C66" s="146" t="inlineStr">
        <is>
          <t>기준</t>
        </is>
      </c>
      <c r="D66" s="146" t="inlineStr">
        <is>
          <t>실제</t>
        </is>
      </c>
      <c r="E66" s="146" t="inlineStr">
        <is>
          <t>판정</t>
        </is>
      </c>
      <c r="F66" s="146" t="inlineStr"/>
    </row>
    <row r="67">
      <c r="A67" s="148" t="inlineStr">
        <is>
          <t>K-1</t>
        </is>
      </c>
      <c r="B67" s="149" t="inlineStr">
        <is>
          <t>도체 최소단면적 전등 (KEC 232.18)</t>
        </is>
      </c>
      <c r="C67" s="148" t="inlineStr">
        <is>
          <t>≥1.5㎟</t>
        </is>
      </c>
      <c r="D67" s="148" t="inlineStr">
        <is>
          <t>2.5㎟</t>
        </is>
      </c>
      <c r="E67" s="148" t="inlineStr">
        <is>
          <t>✅</t>
        </is>
      </c>
      <c r="F67" s="148" t="inlineStr"/>
    </row>
    <row r="68">
      <c r="A68" s="148" t="inlineStr">
        <is>
          <t>K-2</t>
        </is>
      </c>
      <c r="B68" s="149" t="inlineStr">
        <is>
          <t>도체 최소단면적 콘센트 (KEC 232.18)</t>
        </is>
      </c>
      <c r="C68" s="148" t="inlineStr">
        <is>
          <t>≥2.5㎟</t>
        </is>
      </c>
      <c r="D68" s="148" t="inlineStr">
        <is>
          <t>4㎟</t>
        </is>
      </c>
      <c r="E68" s="148" t="inlineStr">
        <is>
          <t>✅</t>
        </is>
      </c>
      <c r="F68" s="148" t="inlineStr"/>
    </row>
    <row r="69">
      <c r="A69" s="148" t="inlineStr">
        <is>
          <t>K-3</t>
        </is>
      </c>
      <c r="B69" s="149" t="inlineStr">
        <is>
          <t>과전류보호 IB≤In≤IZ (KEC 212.4)</t>
        </is>
      </c>
      <c r="C69" s="148" t="inlineStr">
        <is>
          <t>충족</t>
        </is>
      </c>
      <c r="D69" s="148" t="inlineStr">
        <is>
          <t>도면 In=20/30A</t>
        </is>
      </c>
      <c r="E69" s="148" t="inlineStr">
        <is>
          <t>✅</t>
        </is>
      </c>
      <c r="F69" s="148" t="inlineStr"/>
    </row>
    <row r="70">
      <c r="A70" s="148" t="inlineStr">
        <is>
          <t>K-4</t>
        </is>
      </c>
      <c r="B70" s="149" t="inlineStr">
        <is>
          <t>전압강하 조명 ≤3% (KEC B9)</t>
        </is>
      </c>
      <c r="C70" s="148" t="inlineStr">
        <is>
          <t>≤3%</t>
        </is>
      </c>
      <c r="D70" s="148" t="inlineStr">
        <is>
          <t>~2.1% ▲추정</t>
        </is>
      </c>
      <c r="E70" s="148" t="inlineStr">
        <is>
          <t>🟡</t>
        </is>
      </c>
      <c r="F70" s="148" t="inlineStr"/>
    </row>
    <row r="71">
      <c r="A71" s="148" t="inlineStr">
        <is>
          <t>K-5</t>
        </is>
      </c>
      <c r="B71" s="149" t="inlineStr">
        <is>
          <t>전압강하 일반 ≤5% (KEC B9)</t>
        </is>
      </c>
      <c r="C71" s="148" t="inlineStr">
        <is>
          <t>≤5%</t>
        </is>
      </c>
      <c r="D71" s="148" t="inlineStr">
        <is>
          <t>~3.8% ▲추정</t>
        </is>
      </c>
      <c r="E71" s="148" t="inlineStr">
        <is>
          <t>🟡</t>
        </is>
      </c>
      <c r="F71" s="148" t="inlineStr"/>
    </row>
    <row r="72">
      <c r="A72" s="148" t="inlineStr">
        <is>
          <t>K-6</t>
        </is>
      </c>
      <c r="B72" s="149" t="inlineStr">
        <is>
          <t>보호도체 단면적 (KEC 142.3)</t>
        </is>
      </c>
      <c r="C72" s="148" t="inlineStr">
        <is>
          <t>≥기준</t>
        </is>
      </c>
      <c r="D72" s="148" t="inlineStr">
        <is>
          <t>F-GV 동등</t>
        </is>
      </c>
      <c r="E72" s="148" t="inlineStr">
        <is>
          <t>✅</t>
        </is>
      </c>
      <c r="F72" s="148" t="inlineStr"/>
    </row>
    <row r="73">
      <c r="A73" s="148" t="inlineStr">
        <is>
          <t>K-7</t>
        </is>
      </c>
      <c r="B73" s="149" t="inlineStr">
        <is>
          <t>콘센트 누전차단 30mA (KEC 211.6)</t>
        </is>
      </c>
      <c r="C73" s="148" t="inlineStr">
        <is>
          <t>30mA</t>
        </is>
      </c>
      <c r="D73" s="148" t="inlineStr">
        <is>
          <t>도면명기</t>
        </is>
      </c>
      <c r="E73" s="148" t="inlineStr">
        <is>
          <t>✅</t>
        </is>
      </c>
      <c r="F73" s="148" t="inlineStr"/>
    </row>
    <row r="75">
      <c r="A75" s="145" t="inlineStr">
        <is>
          <t>[레벨 A 결정론적 검증]</t>
        </is>
      </c>
    </row>
    <row r="76">
      <c r="A76" s="146" t="inlineStr">
        <is>
          <t>#</t>
        </is>
      </c>
      <c r="B76" s="147" t="inlineStr">
        <is>
          <t>항목</t>
        </is>
      </c>
      <c r="C76" s="146" t="inlineStr">
        <is>
          <t>비교 A</t>
        </is>
      </c>
      <c r="D76" s="146" t="inlineStr">
        <is>
          <t>비교 B</t>
        </is>
      </c>
      <c r="E76" s="146" t="inlineStr">
        <is>
          <t>오차</t>
        </is>
      </c>
      <c r="F76" s="146" t="inlineStr">
        <is>
          <t>판정</t>
        </is>
      </c>
    </row>
    <row r="77">
      <c r="A77" s="148" t="inlineStr">
        <is>
          <t>A-1</t>
        </is>
      </c>
      <c r="B77" s="149" t="inlineStr">
        <is>
          <t>공정 구분행 수 = 소계 헤더행 수</t>
        </is>
      </c>
      <c r="C77" s="148" t="n">
        <v>11</v>
      </c>
      <c r="D77" s="148" t="n">
        <v>11</v>
      </c>
      <c r="E77" s="148" t="inlineStr">
        <is>
          <t>0</t>
        </is>
      </c>
      <c r="F77" s="148" t="inlineStr">
        <is>
          <t>✅</t>
        </is>
      </c>
    </row>
    <row r="78">
      <c r="A78" s="148" t="inlineStr">
        <is>
          <t>A-2</t>
        </is>
      </c>
      <c r="B78" s="149" t="inlineStr">
        <is>
          <t>소계 자재행 ≥ 1 per 소계</t>
        </is>
      </c>
      <c r="C78" s="148" t="inlineStr">
        <is>
          <t>ALL</t>
        </is>
      </c>
      <c r="D78" s="148" t="inlineStr">
        <is>
          <t>≥1</t>
        </is>
      </c>
      <c r="E78" s="148" t="inlineStr">
        <is>
          <t>0</t>
        </is>
      </c>
      <c r="F78" s="148" t="inlineStr">
        <is>
          <t>✅</t>
        </is>
      </c>
    </row>
    <row r="79">
      <c r="A79" s="148" t="inlineStr">
        <is>
          <t>A-3</t>
        </is>
      </c>
      <c r="B79" s="149" t="inlineStr">
        <is>
          <t>배관 유형 ST관 통일</t>
        </is>
      </c>
      <c r="C79" s="148" t="inlineStr">
        <is>
          <t>ALL ST</t>
        </is>
      </c>
      <c r="D79" s="148" t="inlineStr">
        <is>
          <t>ST만</t>
        </is>
      </c>
      <c r="E79" s="148" t="inlineStr">
        <is>
          <t>0</t>
        </is>
      </c>
      <c r="F79" s="148" t="inlineStr">
        <is>
          <t>✅</t>
        </is>
      </c>
    </row>
    <row r="80">
      <c r="A80" s="148" t="inlineStr">
        <is>
          <t>A-4</t>
        </is>
      </c>
      <c r="B80" s="149" t="inlineStr">
        <is>
          <t>신뢰도 기호 전 수량행 기재</t>
        </is>
      </c>
      <c r="C80" s="148" t="inlineStr">
        <is>
          <t>ALL</t>
        </is>
      </c>
      <c r="D80" s="148" t="inlineStr">
        <is>
          <t>100%</t>
        </is>
      </c>
      <c r="E80" s="148" t="inlineStr">
        <is>
          <t>0</t>
        </is>
      </c>
      <c r="F80" s="148" t="inlineStr">
        <is>
          <t>✅</t>
        </is>
      </c>
    </row>
    <row r="81">
      <c r="A81" s="148" t="inlineStr">
        <is>
          <t>A-5</t>
        </is>
      </c>
      <c r="B81" s="149" t="inlineStr">
        <is>
          <t>공정 소계 F열 = 개별 F열 합</t>
        </is>
      </c>
      <c r="C81" s="148" t="inlineStr">
        <is>
          <t>일치</t>
        </is>
      </c>
      <c r="D81" s="148" t="inlineStr">
        <is>
          <t>일치</t>
        </is>
      </c>
      <c r="E81" s="148" t="inlineStr">
        <is>
          <t>0</t>
        </is>
      </c>
      <c r="F81" s="148" t="inlineStr">
        <is>
          <t>✅</t>
        </is>
      </c>
    </row>
    <row r="82">
      <c r="A82" s="148" t="inlineStr">
        <is>
          <t>A-6</t>
        </is>
      </c>
      <c r="B82" s="149" t="inlineStr">
        <is>
          <t>부속재 누락 여부 (커플링/커넥터/부싱/로크너트/새들)</t>
        </is>
      </c>
      <c r="C82" s="148" t="inlineStr">
        <is>
          <t>5종</t>
        </is>
      </c>
      <c r="D82" s="148" t="inlineStr">
        <is>
          <t>5종</t>
        </is>
      </c>
      <c r="E82" s="148" t="inlineStr">
        <is>
          <t>0</t>
        </is>
      </c>
      <c r="F82" s="148" t="inlineStr">
        <is>
          <t>✅</t>
        </is>
      </c>
    </row>
    <row r="83">
      <c r="A83" s="148" t="inlineStr">
        <is>
          <t>A-7</t>
        </is>
      </c>
      <c r="B83" s="149" t="inlineStr">
        <is>
          <t>지지금구 SUP 누락</t>
        </is>
      </c>
      <c r="C83" s="148" t="inlineStr">
        <is>
          <t>전 공정</t>
        </is>
      </c>
      <c r="D83" s="148" t="inlineStr">
        <is>
          <t>전 공정</t>
        </is>
      </c>
      <c r="E83" s="148" t="inlineStr">
        <is>
          <t>0</t>
        </is>
      </c>
      <c r="F83" s="148" t="inlineStr">
        <is>
          <t>✅</t>
        </is>
      </c>
    </row>
    <row r="84">
      <c r="A84" s="148" t="inlineStr">
        <is>
          <t>A-8</t>
        </is>
      </c>
      <c r="B84" s="149" t="inlineStr">
        <is>
          <t>CMN 공통소모재 누락</t>
        </is>
      </c>
      <c r="C84" s="148" t="inlineStr">
        <is>
          <t>전 공정</t>
        </is>
      </c>
      <c r="D84" s="148" t="inlineStr">
        <is>
          <t>전 공정</t>
        </is>
      </c>
      <c r="E84" s="148" t="inlineStr">
        <is>
          <t>0</t>
        </is>
      </c>
      <c r="F84" s="148" t="inlineStr">
        <is>
          <t>✅</t>
        </is>
      </c>
    </row>
    <row r="85">
      <c r="A85" s="148" t="inlineStr">
        <is>
          <t>A-9</t>
        </is>
      </c>
      <c r="B85" s="149" t="inlineStr">
        <is>
          <t>SMPS 2차측 L1/L2 계상</t>
        </is>
      </c>
      <c r="C85" s="148" t="inlineStr">
        <is>
          <t>4회로</t>
        </is>
      </c>
      <c r="D85" s="148" t="inlineStr">
        <is>
          <t>4회로</t>
        </is>
      </c>
      <c r="E85" s="148" t="inlineStr">
        <is>
          <t>0</t>
        </is>
      </c>
      <c r="F85" s="148" t="inlineStr">
        <is>
          <t>✅</t>
        </is>
      </c>
    </row>
    <row r="86">
      <c r="A86" s="148" t="inlineStr">
        <is>
          <t>A-10</t>
        </is>
      </c>
      <c r="B86" s="149" t="inlineStr">
        <is>
          <t>간선 F-CV/F-GV 분리 표기</t>
        </is>
      </c>
      <c r="C86" s="148" t="inlineStr">
        <is>
          <t>OK</t>
        </is>
      </c>
      <c r="D86" s="148" t="inlineStr">
        <is>
          <t>OK</t>
        </is>
      </c>
      <c r="E86" s="148" t="inlineStr">
        <is>
          <t>0</t>
        </is>
      </c>
      <c r="F86" s="148" t="inlineStr">
        <is>
          <t>✅</t>
        </is>
      </c>
    </row>
    <row r="87">
      <c r="A87" s="148" t="inlineStr">
        <is>
          <t>A-11</t>
        </is>
      </c>
      <c r="B87" s="149" t="inlineStr">
        <is>
          <t>회로별 이중 분류 구조</t>
        </is>
      </c>
      <c r="C87" s="148" t="inlineStr">
        <is>
          <t>공정×회로</t>
        </is>
      </c>
      <c r="D87" s="148" t="inlineStr">
        <is>
          <t>공정×회로</t>
        </is>
      </c>
      <c r="E87" s="148" t="inlineStr">
        <is>
          <t>0</t>
        </is>
      </c>
      <c r="F87" s="148" t="inlineStr">
        <is>
          <t>✅</t>
        </is>
      </c>
    </row>
    <row r="88">
      <c r="A88" s="148" t="inlineStr">
        <is>
          <t>A-12</t>
        </is>
      </c>
      <c r="B88" s="149" t="inlineStr">
        <is>
          <t>jeon_history 갱신</t>
        </is>
      </c>
      <c r="C88" s="148" t="inlineStr">
        <is>
          <t>PENDING</t>
        </is>
      </c>
      <c r="D88" s="148" t="inlineStr">
        <is>
          <t>후속</t>
        </is>
      </c>
      <c r="E88" s="148" t="inlineStr">
        <is>
          <t>0</t>
        </is>
      </c>
      <c r="F88" s="148" t="inlineStr">
        <is>
          <t>🟡</t>
        </is>
      </c>
    </row>
    <row r="89">
      <c r="A89" s="148" t="inlineStr">
        <is>
          <t>A-13</t>
        </is>
      </c>
      <c r="B89" s="149" t="inlineStr">
        <is>
          <t>합산메타 (단독 모드)</t>
        </is>
      </c>
      <c r="C89" s="148" t="inlineStr">
        <is>
          <t>SKIP</t>
        </is>
      </c>
      <c r="D89" s="148" t="inlineStr">
        <is>
          <t>단독</t>
        </is>
      </c>
      <c r="E89" s="148" t="inlineStr">
        <is>
          <t>0</t>
        </is>
      </c>
      <c r="F89" s="148" t="inlineStr">
        <is>
          <t>✅</t>
        </is>
      </c>
    </row>
    <row r="90">
      <c r="A90" s="148" t="inlineStr">
        <is>
          <t>A-14</t>
        </is>
      </c>
      <c r="B90" s="149" t="inlineStr">
        <is>
          <t>합산자재 수량 = 물량내역서 합계</t>
        </is>
      </c>
      <c r="C90" s="148" t="inlineStr">
        <is>
          <t>동일</t>
        </is>
      </c>
      <c r="D90" s="148" t="inlineStr">
        <is>
          <t>동일</t>
        </is>
      </c>
      <c r="E90" s="148" t="inlineStr">
        <is>
          <t>0</t>
        </is>
      </c>
      <c r="F90" s="148" t="inlineStr">
        <is>
          <t>✅</t>
        </is>
      </c>
    </row>
    <row r="92">
      <c r="A92" s="145" t="inlineStr">
        <is>
          <t>[KEC 검증]</t>
        </is>
      </c>
    </row>
    <row r="93">
      <c r="A93" s="146" t="inlineStr">
        <is>
          <t>#</t>
        </is>
      </c>
      <c r="B93" s="147" t="inlineStr">
        <is>
          <t>항목</t>
        </is>
      </c>
      <c r="C93" s="146" t="inlineStr">
        <is>
          <t>기준</t>
        </is>
      </c>
      <c r="D93" s="146" t="inlineStr">
        <is>
          <t>실제</t>
        </is>
      </c>
      <c r="E93" s="146" t="inlineStr">
        <is>
          <t>판정</t>
        </is>
      </c>
      <c r="F93" s="146" t="inlineStr"/>
    </row>
    <row r="94">
      <c r="A94" s="148" t="inlineStr">
        <is>
          <t>K-1</t>
        </is>
      </c>
      <c r="B94" s="149" t="inlineStr">
        <is>
          <t>도체 최소단면적 전등 (KEC 232.18)</t>
        </is>
      </c>
      <c r="C94" s="148" t="inlineStr">
        <is>
          <t>≥1.5㎟</t>
        </is>
      </c>
      <c r="D94" s="148" t="inlineStr">
        <is>
          <t>2.5㎟</t>
        </is>
      </c>
      <c r="E94" s="148" t="inlineStr">
        <is>
          <t>✅</t>
        </is>
      </c>
      <c r="F94" s="148" t="inlineStr"/>
    </row>
    <row r="95">
      <c r="A95" s="148" t="inlineStr">
        <is>
          <t>K-2</t>
        </is>
      </c>
      <c r="B95" s="149" t="inlineStr">
        <is>
          <t>도체 최소단면적 콘센트 (KEC 232.18)</t>
        </is>
      </c>
      <c r="C95" s="148" t="inlineStr">
        <is>
          <t>≥2.5㎟</t>
        </is>
      </c>
      <c r="D95" s="148" t="inlineStr">
        <is>
          <t>4㎟</t>
        </is>
      </c>
      <c r="E95" s="148" t="inlineStr">
        <is>
          <t>✅</t>
        </is>
      </c>
      <c r="F95" s="148" t="inlineStr"/>
    </row>
    <row r="96">
      <c r="A96" s="148" t="inlineStr">
        <is>
          <t>K-3</t>
        </is>
      </c>
      <c r="B96" s="149" t="inlineStr">
        <is>
          <t>과전류보호 IB≤In≤IZ (KEC 212.4)</t>
        </is>
      </c>
      <c r="C96" s="148" t="inlineStr">
        <is>
          <t>충족</t>
        </is>
      </c>
      <c r="D96" s="148" t="inlineStr">
        <is>
          <t>도면 In=20/30A</t>
        </is>
      </c>
      <c r="E96" s="148" t="inlineStr">
        <is>
          <t>✅</t>
        </is>
      </c>
      <c r="F96" s="148" t="inlineStr"/>
    </row>
    <row r="97">
      <c r="A97" s="148" t="inlineStr">
        <is>
          <t>K-4</t>
        </is>
      </c>
      <c r="B97" s="149" t="inlineStr">
        <is>
          <t>전압강하 조명 ≤3% (KEC B9)</t>
        </is>
      </c>
      <c r="C97" s="148" t="inlineStr">
        <is>
          <t>≤3%</t>
        </is>
      </c>
      <c r="D97" s="148" t="inlineStr">
        <is>
          <t>~2.1% ▲추정</t>
        </is>
      </c>
      <c r="E97" s="148" t="inlineStr">
        <is>
          <t>🟡</t>
        </is>
      </c>
      <c r="F97" s="148" t="inlineStr"/>
    </row>
    <row r="98">
      <c r="A98" s="148" t="inlineStr">
        <is>
          <t>K-5</t>
        </is>
      </c>
      <c r="B98" s="149" t="inlineStr">
        <is>
          <t>전압강하 일반 ≤5% (KEC B9)</t>
        </is>
      </c>
      <c r="C98" s="148" t="inlineStr">
        <is>
          <t>≤5%</t>
        </is>
      </c>
      <c r="D98" s="148" t="inlineStr">
        <is>
          <t>~3.8% ▲추정</t>
        </is>
      </c>
      <c r="E98" s="148" t="inlineStr">
        <is>
          <t>🟡</t>
        </is>
      </c>
      <c r="F98" s="148" t="inlineStr"/>
    </row>
    <row r="99">
      <c r="A99" s="148" t="inlineStr">
        <is>
          <t>K-6</t>
        </is>
      </c>
      <c r="B99" s="149" t="inlineStr">
        <is>
          <t>보호도체 단면적 (KEC 142.3)</t>
        </is>
      </c>
      <c r="C99" s="148" t="inlineStr">
        <is>
          <t>≥기준</t>
        </is>
      </c>
      <c r="D99" s="148" t="inlineStr">
        <is>
          <t>F-GV 동등</t>
        </is>
      </c>
      <c r="E99" s="148" t="inlineStr">
        <is>
          <t>✅</t>
        </is>
      </c>
      <c r="F99" s="148" t="inlineStr"/>
    </row>
    <row r="100">
      <c r="A100" s="148" t="inlineStr">
        <is>
          <t>K-7</t>
        </is>
      </c>
      <c r="B100" s="149" t="inlineStr">
        <is>
          <t>콘센트 누전차단 30mA (KEC 211.6)</t>
        </is>
      </c>
      <c r="C100" s="148" t="inlineStr">
        <is>
          <t>30mA</t>
        </is>
      </c>
      <c r="D100" s="148" t="inlineStr">
        <is>
          <t>도면명기</t>
        </is>
      </c>
      <c r="E100" s="148" t="inlineStr">
        <is>
          <t>✅</t>
        </is>
      </c>
      <c r="F100" s="148" t="inlineStr"/>
    </row>
  </sheetData>
  <mergeCells count="12">
    <mergeCell ref="A36:G36"/>
    <mergeCell ref="A44:G44"/>
    <mergeCell ref="A1:G1"/>
    <mergeCell ref="A9:G9"/>
    <mergeCell ref="A6:G6"/>
    <mergeCell ref="A22:G22"/>
    <mergeCell ref="A2:G2"/>
    <mergeCell ref="A15:G15"/>
    <mergeCell ref="A29:G29"/>
    <mergeCell ref="A43:G43"/>
    <mergeCell ref="A42:G42"/>
    <mergeCell ref="A46:G4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77" min="1" max="1"/>
    <col width="6" customWidth="1" style="77" min="2" max="2"/>
    <col width="35" customWidth="1" style="77" min="3" max="3"/>
    <col width="22" customWidth="1" style="77" min="4" max="4"/>
    <col width="8" customWidth="1" style="77" min="5" max="5"/>
    <col width="10" customWidth="1" style="77" min="6" max="7"/>
    <col width="8" customWidth="1" style="77" min="8" max="8"/>
    <col width="10" customWidth="1" style="77" min="9" max="11"/>
    <col width="8" customWidth="1" style="77" min="12" max="12"/>
  </cols>
  <sheetData>
    <row r="1" ht="16.4" customHeight="1" s="78">
      <c r="A1" s="150" t="inlineStr">
        <is>
          <t>STEP 4: 회로별 배관·전선 길이 산출표</t>
        </is>
      </c>
    </row>
    <row r="2" ht="11.9" customHeight="1" s="78">
      <c r="A2" s="151" t="inlineStr">
        <is>
          <t>산출식: 총길이 = (수평거리 + 수직거리) × 여유율 | 여유율: 간선 1.18 / 분기 1.30 | 스케일: 평면도 A3=1/100 기준</t>
        </is>
      </c>
    </row>
    <row r="4" ht="15" customHeight="1" s="78">
      <c r="A4" s="152" t="inlineStr">
        <is>
          <t>패널</t>
        </is>
      </c>
      <c r="B4" s="153" t="inlineStr">
        <is>
          <t>CCT</t>
        </is>
      </c>
      <c r="C4" s="152" t="inlineStr">
        <is>
          <t>부하명</t>
        </is>
      </c>
      <c r="D4" s="152" t="inlineStr">
        <is>
          <t>전선규격</t>
        </is>
      </c>
      <c r="E4" s="152" t="inlineStr">
        <is>
          <t>배관</t>
        </is>
      </c>
      <c r="F4" s="152" t="inlineStr">
        <is>
          <t>수평거리(m)</t>
        </is>
      </c>
      <c r="G4" s="152" t="inlineStr">
        <is>
          <t>수직거리(m)</t>
        </is>
      </c>
      <c r="H4" s="152" t="inlineStr">
        <is>
          <t>여유율</t>
        </is>
      </c>
      <c r="I4" s="152" t="inlineStr">
        <is>
          <t>총길이(m)</t>
        </is>
      </c>
      <c r="J4" s="152" t="inlineStr">
        <is>
          <t>배관m</t>
        </is>
      </c>
      <c r="K4" s="152" t="inlineStr">
        <is>
          <t>전선m</t>
        </is>
      </c>
      <c r="L4" s="152" t="inlineStr">
        <is>
          <t>신뢰도</t>
        </is>
      </c>
    </row>
    <row r="5" ht="15" customHeight="1" s="78">
      <c r="A5" s="77" t="inlineStr">
        <is>
          <t>LP-1M</t>
        </is>
      </c>
      <c r="B5" s="77" t="inlineStr">
        <is>
          <t>2</t>
        </is>
      </c>
      <c r="C5" s="77" t="inlineStr">
        <is>
          <t>OAC-1 (실외기1)</t>
        </is>
      </c>
      <c r="D5" s="77" t="inlineStr">
        <is>
          <t>HFIX 6㎟ 4C</t>
        </is>
      </c>
      <c r="E5" s="77" t="inlineStr">
        <is>
          <t>ST 22</t>
        </is>
      </c>
      <c r="F5" s="77" t="n">
        <v>20</v>
      </c>
      <c r="G5" s="77" t="n">
        <v>18</v>
      </c>
      <c r="H5" s="77" t="n">
        <v>1.3</v>
      </c>
      <c r="I5" s="77">
        <f>ROUND((F5+G5)*H5,1)</f>
        <v/>
      </c>
      <c r="J5" s="77">
        <f>I5</f>
        <v/>
      </c>
      <c r="K5" s="77">
        <f>I5*4</f>
        <v/>
      </c>
      <c r="L5" s="77" t="inlineStr">
        <is>
          <t>◆</t>
        </is>
      </c>
    </row>
    <row r="6" ht="15" customHeight="1" s="78">
      <c r="A6" s="77" t="inlineStr">
        <is>
          <t>LP-1M</t>
        </is>
      </c>
      <c r="B6" s="77" t="inlineStr">
        <is>
          <t>4</t>
        </is>
      </c>
      <c r="C6" s="77" t="inlineStr">
        <is>
          <t>EF-2 (배기휀 7.5kW (인버터))</t>
        </is>
      </c>
      <c r="D6" s="77" t="inlineStr">
        <is>
          <t>HFIX 6㎟ 4C</t>
        </is>
      </c>
      <c r="E6" s="77" t="inlineStr">
        <is>
          <t>ST 22</t>
        </is>
      </c>
      <c r="F6" s="77" t="n">
        <v>20</v>
      </c>
      <c r="G6" s="77" t="n">
        <v>18</v>
      </c>
      <c r="H6" s="77" t="n">
        <v>1.3</v>
      </c>
      <c r="I6" s="77">
        <f>ROUND((F6+G6)*H6,1)</f>
        <v/>
      </c>
      <c r="J6" s="77">
        <f>I6</f>
        <v/>
      </c>
      <c r="K6" s="77">
        <f>I6*4</f>
        <v/>
      </c>
      <c r="L6" s="77" t="inlineStr">
        <is>
          <t>◆</t>
        </is>
      </c>
    </row>
    <row r="7" ht="15" customHeight="1" s="78">
      <c r="A7" s="77" t="inlineStr">
        <is>
          <t>LP-1M</t>
        </is>
      </c>
      <c r="B7" s="77" t="inlineStr">
        <is>
          <t>5</t>
        </is>
      </c>
      <c r="C7" s="77" t="inlineStr">
        <is>
          <t>CDU-1 (CONDENSING UNIT-FOOD REFRIGERATION)</t>
        </is>
      </c>
      <c r="D7" s="77" t="inlineStr">
        <is>
          <t>HFIX 6㎟ 4C</t>
        </is>
      </c>
      <c r="E7" s="77" t="inlineStr">
        <is>
          <t>ST 22</t>
        </is>
      </c>
      <c r="F7" s="77" t="n">
        <v>20</v>
      </c>
      <c r="G7" s="77" t="n">
        <v>18</v>
      </c>
      <c r="H7" s="77" t="n">
        <v>1.3</v>
      </c>
      <c r="I7" s="77">
        <f>ROUND((F7+G7)*H7,1)</f>
        <v/>
      </c>
      <c r="J7" s="77">
        <f>I7</f>
        <v/>
      </c>
      <c r="K7" s="77">
        <f>I7*4</f>
        <v/>
      </c>
      <c r="L7" s="77" t="inlineStr">
        <is>
          <t>◆</t>
        </is>
      </c>
    </row>
    <row r="8" ht="15" customHeight="1" s="78">
      <c r="A8" s="77" t="inlineStr">
        <is>
          <t>LP-1M</t>
        </is>
      </c>
      <c r="B8" s="77" t="inlineStr">
        <is>
          <t>6</t>
        </is>
      </c>
      <c r="C8" s="77" t="inlineStr">
        <is>
          <t>K17 (DISH WASHER)</t>
        </is>
      </c>
      <c r="D8" s="77" t="inlineStr">
        <is>
          <t>F-CV 6㎟ 4C</t>
        </is>
      </c>
      <c r="E8" s="77" t="inlineStr">
        <is>
          <t>ST 36</t>
        </is>
      </c>
      <c r="F8" s="77" t="n">
        <v>10</v>
      </c>
      <c r="G8" s="77" t="n">
        <v>0</v>
      </c>
      <c r="H8" s="77" t="n">
        <v>1.3</v>
      </c>
      <c r="I8" s="77">
        <f>ROUND((F8+G8)*H8,1)</f>
        <v/>
      </c>
      <c r="J8" s="77">
        <f>I8</f>
        <v/>
      </c>
      <c r="K8" s="77">
        <f>I8*4</f>
        <v/>
      </c>
      <c r="L8" s="77" t="inlineStr">
        <is>
          <t>◆</t>
        </is>
      </c>
    </row>
    <row r="9" ht="15" customHeight="1" s="78">
      <c r="A9" s="77" t="inlineStr">
        <is>
          <t>LP-1M</t>
        </is>
      </c>
      <c r="B9" s="77" t="inlineStr">
        <is>
          <t>7</t>
        </is>
      </c>
      <c r="C9" s="77" t="inlineStr">
        <is>
          <t>A1 (실외기전원)</t>
        </is>
      </c>
      <c r="D9" s="77" t="inlineStr">
        <is>
          <t>HFIX 4㎟ 3C</t>
        </is>
      </c>
      <c r="E9" s="77" t="inlineStr">
        <is>
          <t>ST 22</t>
        </is>
      </c>
      <c r="F9" s="77" t="n">
        <v>8</v>
      </c>
      <c r="G9" s="77" t="n">
        <v>0</v>
      </c>
      <c r="H9" s="77" t="n">
        <v>1.3</v>
      </c>
      <c r="I9" s="77">
        <f>ROUND((F9+G9)*H9,1)</f>
        <v/>
      </c>
      <c r="J9" s="77">
        <f>I9</f>
        <v/>
      </c>
      <c r="K9" s="77">
        <f>I9*3</f>
        <v/>
      </c>
      <c r="L9" s="77" t="inlineStr">
        <is>
          <t>◆</t>
        </is>
      </c>
    </row>
    <row r="10" ht="15" customHeight="1" s="78">
      <c r="A10" s="77" t="inlineStr">
        <is>
          <t>LP-1M</t>
        </is>
      </c>
      <c r="B10" s="77" t="inlineStr">
        <is>
          <t>8</t>
        </is>
      </c>
      <c r="C10" s="77" t="inlineStr">
        <is>
          <t>K1 (TEMP COOLER)</t>
        </is>
      </c>
      <c r="D10" s="77" t="inlineStr">
        <is>
          <t>F-CV 4㎟ 3C</t>
        </is>
      </c>
      <c r="E10" s="77" t="inlineStr">
        <is>
          <t>ST 28</t>
        </is>
      </c>
      <c r="F10" s="77" t="n">
        <v>10</v>
      </c>
      <c r="G10" s="77" t="n">
        <v>0</v>
      </c>
      <c r="H10" s="77" t="n">
        <v>1.3</v>
      </c>
      <c r="I10" s="77">
        <f>ROUND((F10+G10)*H10,1)</f>
        <v/>
      </c>
      <c r="J10" s="77">
        <f>I10</f>
        <v/>
      </c>
      <c r="K10" s="77">
        <f>I10*3</f>
        <v/>
      </c>
      <c r="L10" s="77" t="inlineStr">
        <is>
          <t>◆</t>
        </is>
      </c>
    </row>
    <row r="11" ht="15" customHeight="1" s="78">
      <c r="A11" s="77" t="inlineStr">
        <is>
          <t>LP-1M</t>
        </is>
      </c>
      <c r="B11" s="77" t="inlineStr">
        <is>
          <t>9</t>
        </is>
      </c>
      <c r="C11" s="77" t="inlineStr">
        <is>
          <t>K3 (CRESCENT ICE MACHINE)</t>
        </is>
      </c>
      <c r="D11" s="77" t="inlineStr">
        <is>
          <t>F-CV 4㎟ 3C</t>
        </is>
      </c>
      <c r="E11" s="77" t="inlineStr">
        <is>
          <t>ST 28</t>
        </is>
      </c>
      <c r="F11" s="77" t="n">
        <v>10</v>
      </c>
      <c r="G11" s="77" t="n">
        <v>0</v>
      </c>
      <c r="H11" s="77" t="n">
        <v>1.3</v>
      </c>
      <c r="I11" s="77">
        <f>ROUND((F11+G11)*H11,1)</f>
        <v/>
      </c>
      <c r="J11" s="77">
        <f>I11</f>
        <v/>
      </c>
      <c r="K11" s="77">
        <f>I11*3</f>
        <v/>
      </c>
      <c r="L11" s="77" t="inlineStr">
        <is>
          <t>◆</t>
        </is>
      </c>
    </row>
    <row r="12" ht="15" customHeight="1" s="78">
      <c r="A12" s="77" t="inlineStr">
        <is>
          <t>LP-1M</t>
        </is>
      </c>
      <c r="B12" s="77" t="inlineStr">
        <is>
          <t>10</t>
        </is>
      </c>
      <c r="C12" s="77" t="inlineStr">
        <is>
          <t>K5 (CHEF BASE/GAS GRIDDLE × 3)</t>
        </is>
      </c>
      <c r="D12" s="77" t="inlineStr">
        <is>
          <t>F-CV 4㎟ 3C</t>
        </is>
      </c>
      <c r="E12" s="77" t="inlineStr">
        <is>
          <t>ST 28</t>
        </is>
      </c>
      <c r="F12" s="77" t="n">
        <v>10</v>
      </c>
      <c r="G12" s="77" t="n">
        <v>0</v>
      </c>
      <c r="H12" s="77" t="n">
        <v>1.3</v>
      </c>
      <c r="I12" s="77">
        <f>ROUND((F12+G12)*H12,1)</f>
        <v/>
      </c>
      <c r="J12" s="77">
        <f>I12</f>
        <v/>
      </c>
      <c r="K12" s="77">
        <f>I12*3</f>
        <v/>
      </c>
      <c r="L12" s="77" t="inlineStr">
        <is>
          <t>◆</t>
        </is>
      </c>
    </row>
    <row r="13" ht="15" customHeight="1" s="78">
      <c r="A13" s="77" t="inlineStr">
        <is>
          <t>LP-1M</t>
        </is>
      </c>
      <c r="B13" s="77" t="inlineStr">
        <is>
          <t>11</t>
        </is>
      </c>
      <c r="C13" s="77" t="inlineStr">
        <is>
          <t>K7 (중탕기)</t>
        </is>
      </c>
      <c r="D13" s="77" t="inlineStr">
        <is>
          <t>F-CV 4㎟ 3C</t>
        </is>
      </c>
      <c r="E13" s="77" t="inlineStr">
        <is>
          <t>ST 28</t>
        </is>
      </c>
      <c r="F13" s="77" t="n">
        <v>10</v>
      </c>
      <c r="G13" s="77" t="n">
        <v>0</v>
      </c>
      <c r="H13" s="77" t="n">
        <v>1.3</v>
      </c>
      <c r="I13" s="77">
        <f>ROUND((F13+G13)*H13,1)</f>
        <v/>
      </c>
      <c r="J13" s="77">
        <f>I13</f>
        <v/>
      </c>
      <c r="K13" s="77">
        <f>I13*3</f>
        <v/>
      </c>
      <c r="L13" s="77" t="inlineStr">
        <is>
          <t>◆</t>
        </is>
      </c>
    </row>
    <row r="14" ht="15" customHeight="1" s="78">
      <c r="A14" s="77" t="inlineStr">
        <is>
          <t>LP-1M</t>
        </is>
      </c>
      <c r="B14" s="77" t="inlineStr">
        <is>
          <t>12</t>
        </is>
      </c>
      <c r="C14" s="77" t="inlineStr">
        <is>
          <t>K9 (GRAVITY SHAKE FREEZER)</t>
        </is>
      </c>
      <c r="D14" s="77" t="inlineStr">
        <is>
          <t>F-CV 4㎟ 3C</t>
        </is>
      </c>
      <c r="E14" s="77" t="inlineStr">
        <is>
          <t>ST 28</t>
        </is>
      </c>
      <c r="F14" s="77" t="n">
        <v>10</v>
      </c>
      <c r="G14" s="77" t="n">
        <v>0</v>
      </c>
      <c r="H14" s="77" t="n">
        <v>1.3</v>
      </c>
      <c r="I14" s="77">
        <f>ROUND((F14+G14)*H14,1)</f>
        <v/>
      </c>
      <c r="J14" s="77">
        <f>I14</f>
        <v/>
      </c>
      <c r="K14" s="77">
        <f>I14*3</f>
        <v/>
      </c>
      <c r="L14" s="77" t="inlineStr">
        <is>
          <t>◆</t>
        </is>
      </c>
    </row>
    <row r="15" ht="15" customHeight="1" s="78">
      <c r="A15" s="77" t="inlineStr">
        <is>
          <t>LP-1M</t>
        </is>
      </c>
      <c r="B15" s="77" t="inlineStr">
        <is>
          <t>13</t>
        </is>
      </c>
      <c r="C15" s="77" t="inlineStr">
        <is>
          <t>K11 (BEER COOLER)</t>
        </is>
      </c>
      <c r="D15" s="77" t="inlineStr">
        <is>
          <t>F-CV 4㎟ 3C</t>
        </is>
      </c>
      <c r="E15" s="77" t="inlineStr">
        <is>
          <t>ST 28</t>
        </is>
      </c>
      <c r="F15" s="77" t="n">
        <v>10</v>
      </c>
      <c r="G15" s="77" t="n">
        <v>0</v>
      </c>
      <c r="H15" s="77" t="n">
        <v>1.3</v>
      </c>
      <c r="I15" s="77">
        <f>ROUND((F15+G15)*H15,1)</f>
        <v/>
      </c>
      <c r="J15" s="77">
        <f>I15</f>
        <v/>
      </c>
      <c r="K15" s="77">
        <f>I15*3</f>
        <v/>
      </c>
      <c r="L15" s="77" t="inlineStr">
        <is>
          <t>◆</t>
        </is>
      </c>
    </row>
    <row r="16" ht="15" customHeight="1" s="78">
      <c r="A16" s="77" t="inlineStr">
        <is>
          <t>LP-1M</t>
        </is>
      </c>
      <c r="B16" s="77" t="inlineStr">
        <is>
          <t>14</t>
        </is>
      </c>
      <c r="C16" s="77" t="inlineStr">
        <is>
          <t>K13 (ICE CUBE)</t>
        </is>
      </c>
      <c r="D16" s="77" t="inlineStr">
        <is>
          <t>F-CV 4㎟ 3C</t>
        </is>
      </c>
      <c r="E16" s="77" t="inlineStr">
        <is>
          <t>ST 28</t>
        </is>
      </c>
      <c r="F16" s="77" t="n">
        <v>10</v>
      </c>
      <c r="G16" s="77" t="n">
        <v>0</v>
      </c>
      <c r="H16" s="77" t="n">
        <v>1.3</v>
      </c>
      <c r="I16" s="77">
        <f>ROUND((F16+G16)*H16,1)</f>
        <v/>
      </c>
      <c r="J16" s="77">
        <f>I16</f>
        <v/>
      </c>
      <c r="K16" s="77">
        <f>I16*3</f>
        <v/>
      </c>
      <c r="L16" s="77" t="inlineStr">
        <is>
          <t>◆</t>
        </is>
      </c>
    </row>
    <row r="17" ht="15" customHeight="1" s="78">
      <c r="A17" s="77" t="inlineStr">
        <is>
          <t>LP-1M</t>
        </is>
      </c>
      <c r="B17" s="77" t="inlineStr">
        <is>
          <t>15</t>
        </is>
      </c>
      <c r="C17" s="77" t="inlineStr">
        <is>
          <t>K15 (ICE CUBE)</t>
        </is>
      </c>
      <c r="D17" s="77" t="inlineStr">
        <is>
          <t>F-CV 4㎟ 3C</t>
        </is>
      </c>
      <c r="E17" s="77" t="inlineStr">
        <is>
          <t>ST 28</t>
        </is>
      </c>
      <c r="F17" s="77" t="n">
        <v>10</v>
      </c>
      <c r="G17" s="77" t="n">
        <v>0</v>
      </c>
      <c r="H17" s="77" t="n">
        <v>1.3</v>
      </c>
      <c r="I17" s="77">
        <f>ROUND((F17+G17)*H17,1)</f>
        <v/>
      </c>
      <c r="J17" s="77">
        <f>I17</f>
        <v/>
      </c>
      <c r="K17" s="77">
        <f>I17*3</f>
        <v/>
      </c>
      <c r="L17" s="77" t="inlineStr">
        <is>
          <t>◆</t>
        </is>
      </c>
    </row>
    <row r="18" ht="15" customHeight="1" s="78">
      <c r="A18" s="77" t="inlineStr">
        <is>
          <t>LP-1M</t>
        </is>
      </c>
      <c r="B18" s="77" t="inlineStr">
        <is>
          <t>16</t>
        </is>
      </c>
      <c r="C18" s="77" t="inlineStr">
        <is>
          <t>R1 (매니저룸)</t>
        </is>
      </c>
      <c r="D18" s="77" t="inlineStr">
        <is>
          <t>HFIX 4㎟ 3C</t>
        </is>
      </c>
      <c r="E18" s="77" t="inlineStr">
        <is>
          <t>ST 22</t>
        </is>
      </c>
      <c r="F18" s="77" t="n">
        <v>12</v>
      </c>
      <c r="G18" s="77" t="n">
        <v>0</v>
      </c>
      <c r="H18" s="77" t="n">
        <v>1.3</v>
      </c>
      <c r="I18" s="77">
        <f>ROUND((F18+G18)*H18,1)</f>
        <v/>
      </c>
      <c r="J18" s="77">
        <f>I18</f>
        <v/>
      </c>
      <c r="K18" s="77">
        <f>I18*3</f>
        <v/>
      </c>
      <c r="L18" s="77" t="inlineStr">
        <is>
          <t>◆</t>
        </is>
      </c>
    </row>
    <row r="19" ht="15" customHeight="1" s="78">
      <c r="A19" s="77" t="inlineStr">
        <is>
          <t>LP-1M</t>
        </is>
      </c>
      <c r="B19" s="77" t="inlineStr">
        <is>
          <t>17</t>
        </is>
      </c>
      <c r="C19" s="77" t="inlineStr">
        <is>
          <t>R3 (포장등/캐쉬어)</t>
        </is>
      </c>
      <c r="D19" s="77" t="inlineStr">
        <is>
          <t>HFIX 4㎟ 3C</t>
        </is>
      </c>
      <c r="E19" s="77" t="inlineStr">
        <is>
          <t>ST 22</t>
        </is>
      </c>
      <c r="F19" s="77" t="n">
        <v>12</v>
      </c>
      <c r="G19" s="77" t="n">
        <v>0</v>
      </c>
      <c r="H19" s="77" t="n">
        <v>1.3</v>
      </c>
      <c r="I19" s="77">
        <f>ROUND((F19+G19)*H19,1)</f>
        <v/>
      </c>
      <c r="J19" s="77">
        <f>I19</f>
        <v/>
      </c>
      <c r="K19" s="77">
        <f>I19*3</f>
        <v/>
      </c>
      <c r="L19" s="77" t="inlineStr">
        <is>
          <t>◆</t>
        </is>
      </c>
    </row>
    <row r="20" ht="15" customHeight="1" s="78">
      <c r="A20" s="77" t="inlineStr">
        <is>
          <t>LP-1M</t>
        </is>
      </c>
      <c r="B20" s="77" t="inlineStr">
        <is>
          <t>18</t>
        </is>
      </c>
      <c r="C20" s="77" t="inlineStr">
        <is>
          <t>R5 (POS)</t>
        </is>
      </c>
      <c r="D20" s="77" t="inlineStr">
        <is>
          <t>HFIX 4㎟ 3C</t>
        </is>
      </c>
      <c r="E20" s="77" t="inlineStr">
        <is>
          <t>ST 22</t>
        </is>
      </c>
      <c r="F20" s="77" t="n">
        <v>12</v>
      </c>
      <c r="G20" s="77" t="n">
        <v>0</v>
      </c>
      <c r="H20" s="77" t="n">
        <v>1.3</v>
      </c>
      <c r="I20" s="77">
        <f>ROUND((F20+G20)*H20,1)</f>
        <v/>
      </c>
      <c r="J20" s="77">
        <f>I20</f>
        <v/>
      </c>
      <c r="K20" s="77">
        <f>I20*3</f>
        <v/>
      </c>
      <c r="L20" s="77" t="inlineStr">
        <is>
          <t>◆</t>
        </is>
      </c>
    </row>
    <row r="21" ht="15" customHeight="1" s="78">
      <c r="A21" s="77" t="inlineStr">
        <is>
          <t>LP-1M</t>
        </is>
      </c>
      <c r="B21" s="77" t="inlineStr">
        <is>
          <t>19</t>
        </is>
      </c>
      <c r="C21" s="77" t="inlineStr">
        <is>
          <t>R7 (키오스크)</t>
        </is>
      </c>
      <c r="D21" s="77" t="inlineStr">
        <is>
          <t>HFIX 4㎟ 3C</t>
        </is>
      </c>
      <c r="E21" s="77" t="inlineStr">
        <is>
          <t>ST 22</t>
        </is>
      </c>
      <c r="F21" s="77" t="n">
        <v>12</v>
      </c>
      <c r="G21" s="77" t="n">
        <v>0</v>
      </c>
      <c r="H21" s="77" t="n">
        <v>1.3</v>
      </c>
      <c r="I21" s="77">
        <f>ROUND((F21+G21)*H21,1)</f>
        <v/>
      </c>
      <c r="J21" s="77">
        <f>I21</f>
        <v/>
      </c>
      <c r="K21" s="77">
        <f>I21*3</f>
        <v/>
      </c>
      <c r="L21" s="77" t="inlineStr">
        <is>
          <t>◆</t>
        </is>
      </c>
    </row>
    <row r="22" ht="15" customHeight="1" s="78">
      <c r="A22" s="77" t="inlineStr">
        <is>
          <t>LP-1M</t>
        </is>
      </c>
      <c r="B22" s="77" t="inlineStr">
        <is>
          <t>20</t>
        </is>
      </c>
      <c r="C22" s="77" t="inlineStr">
        <is>
          <t>L1 (LIGHTING)</t>
        </is>
      </c>
      <c r="D22" s="77" t="inlineStr">
        <is>
          <t>HFIX 2.5㎟ 3C</t>
        </is>
      </c>
      <c r="E22" s="77" t="inlineStr">
        <is>
          <t>ST 16</t>
        </is>
      </c>
      <c r="F22" s="77" t="n">
        <v>30</v>
      </c>
      <c r="G22" s="77" t="n">
        <v>0</v>
      </c>
      <c r="H22" s="77" t="n">
        <v>1.3</v>
      </c>
      <c r="I22" s="77">
        <f>ROUND((F22+G22)*H22,1)</f>
        <v/>
      </c>
      <c r="J22" s="77">
        <f>I22</f>
        <v/>
      </c>
      <c r="K22" s="77">
        <f>I22*3</f>
        <v/>
      </c>
      <c r="L22" s="77" t="inlineStr">
        <is>
          <t>◆</t>
        </is>
      </c>
    </row>
    <row r="23" ht="15" customHeight="1" s="78">
      <c r="A23" s="77" t="inlineStr">
        <is>
          <t>LP-1M</t>
        </is>
      </c>
      <c r="B23" s="77" t="inlineStr">
        <is>
          <t>21</t>
        </is>
      </c>
      <c r="C23" s="77" t="inlineStr">
        <is>
          <t>G1 (OIL MANAGE SYSTEM)</t>
        </is>
      </c>
      <c r="D23" s="77" t="inlineStr">
        <is>
          <t>HFIX 2.5㎟ 3C</t>
        </is>
      </c>
      <c r="E23" s="77" t="inlineStr">
        <is>
          <t>ST 16</t>
        </is>
      </c>
      <c r="F23" s="77" t="n">
        <v>10</v>
      </c>
      <c r="G23" s="77" t="n">
        <v>0</v>
      </c>
      <c r="H23" s="77" t="n">
        <v>1.3</v>
      </c>
      <c r="I23" s="77">
        <f>ROUND((F23+G23)*H23,1)</f>
        <v/>
      </c>
      <c r="J23" s="77">
        <f>I23</f>
        <v/>
      </c>
      <c r="K23" s="77">
        <f>I23*3</f>
        <v/>
      </c>
      <c r="L23" s="77" t="inlineStr">
        <is>
          <t>◆</t>
        </is>
      </c>
    </row>
    <row r="24" ht="15" customHeight="1" s="78">
      <c r="A24" s="77" t="inlineStr">
        <is>
          <t>LP-1M</t>
        </is>
      </c>
      <c r="B24" s="77" t="inlineStr">
        <is>
          <t>22</t>
        </is>
      </c>
      <c r="C24" s="77" t="inlineStr">
        <is>
          <t>ERV1 (전열교환기)</t>
        </is>
      </c>
      <c r="D24" s="77" t="inlineStr">
        <is>
          <t>HFIX 2.5㎟ 3C</t>
        </is>
      </c>
      <c r="E24" s="77" t="inlineStr">
        <is>
          <t>ST 16</t>
        </is>
      </c>
      <c r="F24" s="77" t="n">
        <v>12</v>
      </c>
      <c r="G24" s="77" t="n">
        <v>0</v>
      </c>
      <c r="H24" s="77" t="n">
        <v>1.3</v>
      </c>
      <c r="I24" s="77">
        <f>ROUND((F24+G24)*H24,1)</f>
        <v/>
      </c>
      <c r="J24" s="77">
        <f>I24</f>
        <v/>
      </c>
      <c r="K24" s="77">
        <f>I24*3</f>
        <v/>
      </c>
      <c r="L24" s="77" t="inlineStr">
        <is>
          <t>◆</t>
        </is>
      </c>
    </row>
    <row r="25" ht="15" customHeight="1" s="78">
      <c r="A25" s="77" t="inlineStr">
        <is>
          <t>LP-1M</t>
        </is>
      </c>
      <c r="B25" s="77" t="inlineStr">
        <is>
          <t>23</t>
        </is>
      </c>
      <c r="C25" s="77" t="inlineStr">
        <is>
          <t>S1 (SIGN)</t>
        </is>
      </c>
      <c r="D25" s="77" t="inlineStr">
        <is>
          <t>HFIX 2.5㎟ 3C</t>
        </is>
      </c>
      <c r="E25" s="77" t="inlineStr">
        <is>
          <t>ST 16</t>
        </is>
      </c>
      <c r="F25" s="77" t="n">
        <v>10</v>
      </c>
      <c r="G25" s="77" t="n">
        <v>3</v>
      </c>
      <c r="H25" s="77" t="n">
        <v>1.3</v>
      </c>
      <c r="I25" s="77">
        <f>ROUND((F25+G25)*H25,1)</f>
        <v/>
      </c>
      <c r="J25" s="77">
        <f>I25</f>
        <v/>
      </c>
      <c r="K25" s="77">
        <f>I25*3</f>
        <v/>
      </c>
      <c r="L25" s="77" t="inlineStr">
        <is>
          <t>◆</t>
        </is>
      </c>
    </row>
    <row r="26" ht="15" customHeight="1" s="78">
      <c r="A26" s="77" t="inlineStr">
        <is>
          <t>LP-1M</t>
        </is>
      </c>
      <c r="B26" s="77" t="inlineStr">
        <is>
          <t>24</t>
        </is>
      </c>
      <c r="C26" s="77" t="inlineStr">
        <is>
          <t>S3 (SIGN)</t>
        </is>
      </c>
      <c r="D26" s="77" t="inlineStr">
        <is>
          <t>HFIX 2.5㎟ 3C</t>
        </is>
      </c>
      <c r="E26" s="77" t="inlineStr">
        <is>
          <t>ST 16</t>
        </is>
      </c>
      <c r="F26" s="77" t="n">
        <v>10</v>
      </c>
      <c r="G26" s="77" t="n">
        <v>3</v>
      </c>
      <c r="H26" s="77" t="n">
        <v>1.3</v>
      </c>
      <c r="I26" s="77">
        <f>ROUND((F26+G26)*H26,1)</f>
        <v/>
      </c>
      <c r="J26" s="77">
        <f>I26</f>
        <v/>
      </c>
      <c r="K26" s="77">
        <f>I26*3</f>
        <v/>
      </c>
      <c r="L26" s="77" t="inlineStr">
        <is>
          <t>◆</t>
        </is>
      </c>
    </row>
    <row r="27" ht="15" customHeight="1" s="78">
      <c r="A27" s="77" t="inlineStr">
        <is>
          <t>LP-1M</t>
        </is>
      </c>
      <c r="B27" s="77" t="inlineStr">
        <is>
          <t>27</t>
        </is>
      </c>
      <c r="C27" s="77" t="inlineStr">
        <is>
          <t>EF-1 (배기휀 1)</t>
        </is>
      </c>
      <c r="D27" s="77" t="inlineStr">
        <is>
          <t>HFIX 6㎟ 4C</t>
        </is>
      </c>
      <c r="E27" s="77" t="inlineStr">
        <is>
          <t>ST 22</t>
        </is>
      </c>
      <c r="F27" s="77" t="n">
        <v>20</v>
      </c>
      <c r="G27" s="77" t="n">
        <v>18</v>
      </c>
      <c r="H27" s="77" t="n">
        <v>1.3</v>
      </c>
      <c r="I27" s="77">
        <f>ROUND((F27+G27)*H27,1)</f>
        <v/>
      </c>
      <c r="J27" s="77">
        <f>I27</f>
        <v/>
      </c>
      <c r="K27" s="77">
        <f>I27*4</f>
        <v/>
      </c>
      <c r="L27" s="77" t="inlineStr">
        <is>
          <t>◆</t>
        </is>
      </c>
    </row>
    <row r="28" ht="15" customHeight="1" s="78">
      <c r="A28" s="77" t="inlineStr">
        <is>
          <t>LP-1M</t>
        </is>
      </c>
      <c r="B28" s="77" t="inlineStr">
        <is>
          <t>28</t>
        </is>
      </c>
      <c r="C28" s="77" t="inlineStr">
        <is>
          <t>OAC-2 (실외기2)</t>
        </is>
      </c>
      <c r="D28" s="77" t="inlineStr">
        <is>
          <t>HFIX 6㎟ 4C</t>
        </is>
      </c>
      <c r="E28" s="77" t="inlineStr">
        <is>
          <t>ST 22</t>
        </is>
      </c>
      <c r="F28" s="77" t="n">
        <v>20</v>
      </c>
      <c r="G28" s="77" t="n">
        <v>18</v>
      </c>
      <c r="H28" s="77" t="n">
        <v>1.3</v>
      </c>
      <c r="I28" s="77">
        <f>ROUND((F28+G28)*H28,1)</f>
        <v/>
      </c>
      <c r="J28" s="77">
        <f>I28</f>
        <v/>
      </c>
      <c r="K28" s="77">
        <f>I28*4</f>
        <v/>
      </c>
      <c r="L28" s="77" t="inlineStr">
        <is>
          <t>◆</t>
        </is>
      </c>
    </row>
    <row r="29" ht="15" customHeight="1" s="78">
      <c r="A29" s="77" t="inlineStr">
        <is>
          <t>LP-1M</t>
        </is>
      </c>
      <c r="B29" s="77" t="inlineStr">
        <is>
          <t>29</t>
        </is>
      </c>
      <c r="F29" s="77" t="n">
        <v>10</v>
      </c>
      <c r="G29" s="77" t="n">
        <v>0</v>
      </c>
      <c r="H29" s="77" t="n">
        <v>1.3</v>
      </c>
      <c r="I29" s="77">
        <f>ROUND((F29+G29)*H29,1)</f>
        <v/>
      </c>
      <c r="J29" s="77">
        <f>I29</f>
        <v/>
      </c>
      <c r="K29" s="77">
        <f>I29*3</f>
        <v/>
      </c>
      <c r="L29" s="77" t="inlineStr">
        <is>
          <t>◆</t>
        </is>
      </c>
    </row>
    <row r="30" ht="15" customHeight="1" s="78">
      <c r="A30" s="77" t="inlineStr">
        <is>
          <t>LP-1M</t>
        </is>
      </c>
      <c r="B30" s="77" t="inlineStr">
        <is>
          <t>31</t>
        </is>
      </c>
      <c r="C30" s="77" t="inlineStr">
        <is>
          <t>CDU-2 (CONDENSING UNIT-MEAT REFRIGERATION)</t>
        </is>
      </c>
      <c r="D30" s="77" t="inlineStr">
        <is>
          <t>HFIX 6㎟ 4C</t>
        </is>
      </c>
      <c r="E30" s="77" t="inlineStr">
        <is>
          <t>ST 22</t>
        </is>
      </c>
      <c r="F30" s="77" t="n">
        <v>20</v>
      </c>
      <c r="G30" s="77" t="n">
        <v>18</v>
      </c>
      <c r="H30" s="77" t="n">
        <v>1.3</v>
      </c>
      <c r="I30" s="77">
        <f>ROUND((F30+G30)*H30,1)</f>
        <v/>
      </c>
      <c r="J30" s="77">
        <f>I30</f>
        <v/>
      </c>
      <c r="K30" s="77">
        <f>I30*4</f>
        <v/>
      </c>
      <c r="L30" s="77" t="inlineStr">
        <is>
          <t>◆</t>
        </is>
      </c>
    </row>
    <row r="31" ht="15" customHeight="1" s="78">
      <c r="A31" s="77" t="inlineStr">
        <is>
          <t>LP-1M</t>
        </is>
      </c>
      <c r="B31" s="77" t="inlineStr">
        <is>
          <t>32</t>
        </is>
      </c>
      <c r="C31" s="77" t="inlineStr">
        <is>
          <t>K18 (DRYER)</t>
        </is>
      </c>
      <c r="D31" s="77" t="inlineStr">
        <is>
          <t>F-CV 6㎟ 4C</t>
        </is>
      </c>
      <c r="E31" s="77" t="inlineStr">
        <is>
          <t>ST 36</t>
        </is>
      </c>
      <c r="F31" s="77" t="n">
        <v>10</v>
      </c>
      <c r="G31" s="77" t="n">
        <v>0</v>
      </c>
      <c r="H31" s="77" t="n">
        <v>1.3</v>
      </c>
      <c r="I31" s="77">
        <f>ROUND((F31+G31)*H31,1)</f>
        <v/>
      </c>
      <c r="J31" s="77">
        <f>I31</f>
        <v/>
      </c>
      <c r="K31" s="77">
        <f>I31*4</f>
        <v/>
      </c>
      <c r="L31" s="77" t="inlineStr">
        <is>
          <t>◆</t>
        </is>
      </c>
    </row>
    <row r="32" ht="15" customHeight="1" s="78">
      <c r="A32" s="77" t="inlineStr">
        <is>
          <t>LP-1M</t>
        </is>
      </c>
      <c r="B32" s="77" t="inlineStr">
        <is>
          <t>33</t>
        </is>
      </c>
      <c r="C32" s="77" t="inlineStr">
        <is>
          <t>A2 (실내기전원)</t>
        </is>
      </c>
      <c r="D32" s="77" t="inlineStr">
        <is>
          <t>HFIX 4㎟ 3C</t>
        </is>
      </c>
      <c r="E32" s="77" t="inlineStr">
        <is>
          <t>ST 22</t>
        </is>
      </c>
      <c r="F32" s="77" t="n">
        <v>8</v>
      </c>
      <c r="G32" s="77" t="n">
        <v>0</v>
      </c>
      <c r="H32" s="77" t="n">
        <v>1.3</v>
      </c>
      <c r="I32" s="77">
        <f>ROUND((F32+G32)*H32,1)</f>
        <v/>
      </c>
      <c r="J32" s="77">
        <f>I32</f>
        <v/>
      </c>
      <c r="K32" s="77">
        <f>I32*3</f>
        <v/>
      </c>
      <c r="L32" s="77" t="inlineStr">
        <is>
          <t>◆</t>
        </is>
      </c>
    </row>
    <row r="33" ht="15" customHeight="1" s="78">
      <c r="A33" s="77" t="inlineStr">
        <is>
          <t>LP-1M</t>
        </is>
      </c>
      <c r="B33" s="77" t="inlineStr">
        <is>
          <t>34</t>
        </is>
      </c>
      <c r="C33" s="77" t="inlineStr">
        <is>
          <t>K2 (POTATO SINK)</t>
        </is>
      </c>
      <c r="D33" s="77" t="inlineStr">
        <is>
          <t>F-CV 4㎟ 3C</t>
        </is>
      </c>
      <c r="E33" s="77" t="inlineStr">
        <is>
          <t>ST 28</t>
        </is>
      </c>
      <c r="F33" s="77" t="n">
        <v>10</v>
      </c>
      <c r="G33" s="77" t="n">
        <v>0</v>
      </c>
      <c r="H33" s="77" t="n">
        <v>1.3</v>
      </c>
      <c r="I33" s="77">
        <f>ROUND((F33+G33)*H33,1)</f>
        <v/>
      </c>
      <c r="J33" s="77">
        <f>I33</f>
        <v/>
      </c>
      <c r="K33" s="77">
        <f>I33*3</f>
        <v/>
      </c>
      <c r="L33" s="77" t="inlineStr">
        <is>
          <t>◆</t>
        </is>
      </c>
    </row>
    <row r="34" ht="15" customHeight="1" s="78">
      <c r="A34" s="77" t="inlineStr">
        <is>
          <t>LP-1M</t>
        </is>
      </c>
      <c r="B34" s="77" t="inlineStr">
        <is>
          <t>35</t>
        </is>
      </c>
      <c r="C34" s="77" t="inlineStr">
        <is>
          <t>K4 (FRYER, 4BAY (GAS TYPE) × 2)</t>
        </is>
      </c>
      <c r="D34" s="77" t="inlineStr">
        <is>
          <t>F-CV 4㎟ 3C</t>
        </is>
      </c>
      <c r="E34" s="77" t="inlineStr">
        <is>
          <t>ST 28</t>
        </is>
      </c>
      <c r="F34" s="77" t="n">
        <v>10</v>
      </c>
      <c r="G34" s="77" t="n">
        <v>0</v>
      </c>
      <c r="H34" s="77" t="n">
        <v>1.3</v>
      </c>
      <c r="I34" s="77">
        <f>ROUND((F34+G34)*H34,1)</f>
        <v/>
      </c>
      <c r="J34" s="77">
        <f>I34</f>
        <v/>
      </c>
      <c r="K34" s="77">
        <f>I34*3</f>
        <v/>
      </c>
      <c r="L34" s="77" t="inlineStr">
        <is>
          <t>◆</t>
        </is>
      </c>
    </row>
    <row r="35" ht="15" customHeight="1" s="78">
      <c r="A35" s="77" t="inlineStr">
        <is>
          <t>LP-1M</t>
        </is>
      </c>
      <c r="B35" s="77" t="inlineStr">
        <is>
          <t>36</t>
        </is>
      </c>
      <c r="C35" s="77" t="inlineStr">
        <is>
          <t>K6 (SANDWICH WRAP TABLE/PREP TABLE)</t>
        </is>
      </c>
      <c r="D35" s="77" t="inlineStr">
        <is>
          <t>F-CV 4㎟ 3C</t>
        </is>
      </c>
      <c r="E35" s="77" t="inlineStr">
        <is>
          <t>ST 28</t>
        </is>
      </c>
      <c r="F35" s="77" t="n">
        <v>10</v>
      </c>
      <c r="G35" s="77" t="n">
        <v>0</v>
      </c>
      <c r="H35" s="77" t="n">
        <v>1.3</v>
      </c>
      <c r="I35" s="77">
        <f>ROUND((F35+G35)*H35,1)</f>
        <v/>
      </c>
      <c r="J35" s="77">
        <f>I35</f>
        <v/>
      </c>
      <c r="K35" s="77">
        <f>I35*3</f>
        <v/>
      </c>
      <c r="L35" s="77" t="inlineStr">
        <is>
          <t>◆</t>
        </is>
      </c>
    </row>
    <row r="36" ht="15" customHeight="1" s="78">
      <c r="A36" s="77" t="inlineStr">
        <is>
          <t>LP-1M</t>
        </is>
      </c>
      <c r="B36" s="77" t="inlineStr">
        <is>
          <t>37</t>
        </is>
      </c>
      <c r="C36" s="77" t="inlineStr">
        <is>
          <t>K8 (COOKED FRIED STATION/FRY STATION TABLE W/WARMER)</t>
        </is>
      </c>
      <c r="D36" s="77" t="inlineStr">
        <is>
          <t>F-CV 4㎟ 3C</t>
        </is>
      </c>
      <c r="E36" s="77" t="inlineStr">
        <is>
          <t>ST 28</t>
        </is>
      </c>
      <c r="F36" s="77" t="n">
        <v>10</v>
      </c>
      <c r="G36" s="77" t="n">
        <v>0</v>
      </c>
      <c r="H36" s="77" t="n">
        <v>1.3</v>
      </c>
      <c r="I36" s="77">
        <f>ROUND((F36+G36)*H36,1)</f>
        <v/>
      </c>
      <c r="J36" s="77">
        <f>I36</f>
        <v/>
      </c>
      <c r="K36" s="77">
        <f>I36*3</f>
        <v/>
      </c>
      <c r="L36" s="77" t="inlineStr">
        <is>
          <t>◆</t>
        </is>
      </c>
    </row>
    <row r="37" ht="15" customHeight="1" s="78">
      <c r="A37" s="77" t="inlineStr">
        <is>
          <t>LP-1M</t>
        </is>
      </c>
      <c r="B37" s="77" t="inlineStr">
        <is>
          <t>38</t>
        </is>
      </c>
      <c r="C37" s="77" t="inlineStr">
        <is>
          <t>K10 (SHAKE FOUNTAINETTE COOLER/ORDER PRINTER)</t>
        </is>
      </c>
      <c r="D37" s="77" t="inlineStr">
        <is>
          <t>F-CV 4㎟ 3C</t>
        </is>
      </c>
      <c r="E37" s="77" t="inlineStr">
        <is>
          <t>ST 28</t>
        </is>
      </c>
      <c r="F37" s="77" t="n">
        <v>10</v>
      </c>
      <c r="G37" s="77" t="n">
        <v>0</v>
      </c>
      <c r="H37" s="77" t="n">
        <v>1.3</v>
      </c>
      <c r="I37" s="77">
        <f>ROUND((F37+G37)*H37,1)</f>
        <v/>
      </c>
      <c r="J37" s="77">
        <f>I37</f>
        <v/>
      </c>
      <c r="K37" s="77">
        <f>I37*3</f>
        <v/>
      </c>
      <c r="L37" s="77" t="inlineStr">
        <is>
          <t>◆</t>
        </is>
      </c>
    </row>
    <row r="38" ht="15" customHeight="1" s="78">
      <c r="A38" s="77" t="inlineStr">
        <is>
          <t>LP-1M</t>
        </is>
      </c>
      <c r="B38" s="77" t="inlineStr">
        <is>
          <t>39</t>
        </is>
      </c>
      <c r="C38" s="77" t="inlineStr">
        <is>
          <t>K12 (FOUNTAIN DISPENSER)</t>
        </is>
      </c>
      <c r="D38" s="77" t="inlineStr">
        <is>
          <t>F-CV 4㎟ 3C</t>
        </is>
      </c>
      <c r="E38" s="77" t="inlineStr">
        <is>
          <t>ST 28</t>
        </is>
      </c>
      <c r="F38" s="77" t="n">
        <v>10</v>
      </c>
      <c r="G38" s="77" t="n">
        <v>0</v>
      </c>
      <c r="H38" s="77" t="n">
        <v>1.3</v>
      </c>
      <c r="I38" s="77">
        <f>ROUND((F38+G38)*H38,1)</f>
        <v/>
      </c>
      <c r="J38" s="77">
        <f>I38</f>
        <v/>
      </c>
      <c r="K38" s="77">
        <f>I38*3</f>
        <v/>
      </c>
      <c r="L38" s="77" t="inlineStr">
        <is>
          <t>◆</t>
        </is>
      </c>
    </row>
    <row r="39" ht="15" customHeight="1" s="78">
      <c r="A39" s="77" t="inlineStr">
        <is>
          <t>LP-1M</t>
        </is>
      </c>
      <c r="B39" s="77" t="inlineStr">
        <is>
          <t>40</t>
        </is>
      </c>
      <c r="C39" s="77" t="inlineStr">
        <is>
          <t>K14 (FOUNTAIN DISPENSER)</t>
        </is>
      </c>
      <c r="D39" s="77" t="inlineStr">
        <is>
          <t>F-CV 4㎟ 3C</t>
        </is>
      </c>
      <c r="E39" s="77" t="inlineStr">
        <is>
          <t>ST 28</t>
        </is>
      </c>
      <c r="F39" s="77" t="n">
        <v>10</v>
      </c>
      <c r="G39" s="77" t="n">
        <v>0</v>
      </c>
      <c r="H39" s="77" t="n">
        <v>1.3</v>
      </c>
      <c r="I39" s="77">
        <f>ROUND((F39+G39)*H39,1)</f>
        <v/>
      </c>
      <c r="J39" s="77">
        <f>I39</f>
        <v/>
      </c>
      <c r="K39" s="77">
        <f>I39*3</f>
        <v/>
      </c>
      <c r="L39" s="77" t="inlineStr">
        <is>
          <t>◆</t>
        </is>
      </c>
    </row>
    <row r="40" ht="15" customHeight="1" s="78">
      <c r="A40" s="77" t="inlineStr">
        <is>
          <t>LP-1M</t>
        </is>
      </c>
      <c r="B40" s="77" t="inlineStr">
        <is>
          <t>41</t>
        </is>
      </c>
      <c r="C40" s="77" t="inlineStr">
        <is>
          <t>K16 (Water Booster)</t>
        </is>
      </c>
      <c r="D40" s="77" t="inlineStr">
        <is>
          <t>F-CV 4㎟ 3C</t>
        </is>
      </c>
      <c r="E40" s="77" t="inlineStr">
        <is>
          <t>ST 28</t>
        </is>
      </c>
      <c r="F40" s="77" t="n">
        <v>10</v>
      </c>
      <c r="G40" s="77" t="n">
        <v>0</v>
      </c>
      <c r="H40" s="77" t="n">
        <v>1.3</v>
      </c>
      <c r="I40" s="77">
        <f>ROUND((F40+G40)*H40,1)</f>
        <v/>
      </c>
      <c r="J40" s="77">
        <f>I40</f>
        <v/>
      </c>
      <c r="K40" s="77">
        <f>I40*3</f>
        <v/>
      </c>
      <c r="L40" s="77" t="inlineStr">
        <is>
          <t>◆</t>
        </is>
      </c>
    </row>
    <row r="41" ht="15" customHeight="1" s="78">
      <c r="A41" s="77" t="inlineStr">
        <is>
          <t>LP-1M</t>
        </is>
      </c>
      <c r="B41" s="77" t="inlineStr">
        <is>
          <t>42</t>
        </is>
      </c>
      <c r="C41" s="77" t="inlineStr">
        <is>
          <t>R2 (매니저룸)</t>
        </is>
      </c>
      <c r="D41" s="77" t="inlineStr">
        <is>
          <t>HFIX 4㎟ 3C</t>
        </is>
      </c>
      <c r="E41" s="77" t="inlineStr">
        <is>
          <t>ST 22</t>
        </is>
      </c>
      <c r="F41" s="77" t="n">
        <v>12</v>
      </c>
      <c r="G41" s="77" t="n">
        <v>0</v>
      </c>
      <c r="H41" s="77" t="n">
        <v>1.3</v>
      </c>
      <c r="I41" s="77">
        <f>ROUND((F41+G41)*H41,1)</f>
        <v/>
      </c>
      <c r="J41" s="77">
        <f>I41</f>
        <v/>
      </c>
      <c r="K41" s="77">
        <f>I41*3</f>
        <v/>
      </c>
      <c r="L41" s="77" t="inlineStr">
        <is>
          <t>◆</t>
        </is>
      </c>
    </row>
    <row r="42" ht="15" customHeight="1" s="78">
      <c r="A42" s="77" t="inlineStr">
        <is>
          <t>LP-1M</t>
        </is>
      </c>
      <c r="B42" s="77" t="inlineStr">
        <is>
          <t>43</t>
        </is>
      </c>
      <c r="C42" s="77" t="inlineStr">
        <is>
          <t>R4 (포중등/MIC외)</t>
        </is>
      </c>
      <c r="D42" s="77" t="inlineStr">
        <is>
          <t>HFIX 4㎟ 3C</t>
        </is>
      </c>
      <c r="E42" s="77" t="inlineStr">
        <is>
          <t>ST 22</t>
        </is>
      </c>
      <c r="F42" s="77" t="n">
        <v>12</v>
      </c>
      <c r="G42" s="77" t="n">
        <v>0</v>
      </c>
      <c r="H42" s="77" t="n">
        <v>1.3</v>
      </c>
      <c r="I42" s="77">
        <f>ROUND((F42+G42)*H42,1)</f>
        <v/>
      </c>
      <c r="J42" s="77">
        <f>I42</f>
        <v/>
      </c>
      <c r="K42" s="77">
        <f>I42*3</f>
        <v/>
      </c>
      <c r="L42" s="77" t="inlineStr">
        <is>
          <t>◆</t>
        </is>
      </c>
    </row>
    <row r="43" ht="15" customHeight="1" s="78">
      <c r="A43" s="77" t="inlineStr">
        <is>
          <t>LP-1M</t>
        </is>
      </c>
      <c r="B43" s="77" t="inlineStr">
        <is>
          <t>44</t>
        </is>
      </c>
      <c r="C43" s="77" t="inlineStr">
        <is>
          <t>R6 (포중등/정수기/핸드믹서)</t>
        </is>
      </c>
      <c r="D43" s="77" t="inlineStr">
        <is>
          <t>HFIX 4㎟ 3C</t>
        </is>
      </c>
      <c r="E43" s="77" t="inlineStr">
        <is>
          <t>ST 22</t>
        </is>
      </c>
      <c r="F43" s="77" t="n">
        <v>12</v>
      </c>
      <c r="G43" s="77" t="n">
        <v>0</v>
      </c>
      <c r="H43" s="77" t="n">
        <v>1.3</v>
      </c>
      <c r="I43" s="77">
        <f>ROUND((F43+G43)*H43,1)</f>
        <v/>
      </c>
      <c r="J43" s="77">
        <f>I43</f>
        <v/>
      </c>
      <c r="K43" s="77">
        <f>I43*3</f>
        <v/>
      </c>
      <c r="L43" s="77" t="inlineStr">
        <is>
          <t>◆</t>
        </is>
      </c>
    </row>
    <row r="44" ht="15" customHeight="1" s="78">
      <c r="A44" s="77" t="inlineStr">
        <is>
          <t>LP-1M</t>
        </is>
      </c>
      <c r="B44" s="77" t="inlineStr">
        <is>
          <t>46</t>
        </is>
      </c>
      <c r="C44" s="77" t="inlineStr">
        <is>
          <t>L2 (LIGHTING)</t>
        </is>
      </c>
      <c r="D44" s="77" t="inlineStr">
        <is>
          <t>HFIX 2.5㎟ 3C</t>
        </is>
      </c>
      <c r="E44" s="77" t="inlineStr">
        <is>
          <t>ST 16</t>
        </is>
      </c>
      <c r="F44" s="77" t="n">
        <v>30</v>
      </c>
      <c r="G44" s="77" t="n">
        <v>0</v>
      </c>
      <c r="H44" s="77" t="n">
        <v>1.3</v>
      </c>
      <c r="I44" s="77">
        <f>ROUND((F44+G44)*H44,1)</f>
        <v/>
      </c>
      <c r="J44" s="77">
        <f>I44</f>
        <v/>
      </c>
      <c r="K44" s="77">
        <f>I44*3</f>
        <v/>
      </c>
      <c r="L44" s="77" t="inlineStr">
        <is>
          <t>◆</t>
        </is>
      </c>
    </row>
    <row r="45" ht="15" customHeight="1" s="78">
      <c r="A45" s="77" t="inlineStr">
        <is>
          <t>LP-1M</t>
        </is>
      </c>
      <c r="B45" s="77" t="inlineStr">
        <is>
          <t>47</t>
        </is>
      </c>
      <c r="C45" s="77" t="inlineStr">
        <is>
          <t>H1 (HOOD/LAMP/FILTER × 5)</t>
        </is>
      </c>
      <c r="D45" s="77" t="inlineStr">
        <is>
          <t>HFIX 4㎟ 3C</t>
        </is>
      </c>
      <c r="E45" s="77" t="inlineStr">
        <is>
          <t>ST 22</t>
        </is>
      </c>
      <c r="F45" s="77" t="n">
        <v>30</v>
      </c>
      <c r="G45" s="77" t="n">
        <v>0</v>
      </c>
      <c r="H45" s="77" t="n">
        <v>1.3</v>
      </c>
      <c r="I45" s="77">
        <f>ROUND((F45+G45)*H45,1)</f>
        <v/>
      </c>
      <c r="J45" s="77">
        <f>I45</f>
        <v/>
      </c>
      <c r="K45" s="77">
        <f>I45*3</f>
        <v/>
      </c>
      <c r="L45" s="77" t="inlineStr">
        <is>
          <t>◆</t>
        </is>
      </c>
    </row>
    <row r="46" ht="15" customHeight="1" s="78">
      <c r="A46" s="77" t="inlineStr">
        <is>
          <t>LP-1M</t>
        </is>
      </c>
      <c r="B46" s="77" t="inlineStr">
        <is>
          <t>48</t>
        </is>
      </c>
      <c r="C46" s="77" t="inlineStr">
        <is>
          <t>ERV2 (전열교환기2)</t>
        </is>
      </c>
      <c r="D46" s="77" t="inlineStr">
        <is>
          <t>HFIX 2.5㎟ 3C</t>
        </is>
      </c>
      <c r="E46" s="77" t="inlineStr">
        <is>
          <t>ST 16</t>
        </is>
      </c>
      <c r="F46" s="77" t="n">
        <v>12</v>
      </c>
      <c r="G46" s="77" t="n">
        <v>0</v>
      </c>
      <c r="H46" s="77" t="n">
        <v>1.3</v>
      </c>
      <c r="I46" s="77">
        <f>ROUND((F46+G46)*H46,1)</f>
        <v/>
      </c>
      <c r="J46" s="77">
        <f>I46</f>
        <v/>
      </c>
      <c r="K46" s="77">
        <f>I46*3</f>
        <v/>
      </c>
      <c r="L46" s="77" t="inlineStr">
        <is>
          <t>◆</t>
        </is>
      </c>
    </row>
    <row r="47" ht="15" customHeight="1" s="78">
      <c r="A47" s="77" t="inlineStr">
        <is>
          <t>LP-1M</t>
        </is>
      </c>
      <c r="B47" s="77" t="inlineStr">
        <is>
          <t>49</t>
        </is>
      </c>
      <c r="C47" s="77" t="inlineStr">
        <is>
          <t>S2 (SIGN)</t>
        </is>
      </c>
      <c r="D47" s="77" t="inlineStr">
        <is>
          <t>HFIX 2.5㎟ 3C</t>
        </is>
      </c>
      <c r="E47" s="77" t="inlineStr">
        <is>
          <t>ST 16</t>
        </is>
      </c>
      <c r="F47" s="77" t="n">
        <v>10</v>
      </c>
      <c r="G47" s="77" t="n">
        <v>3</v>
      </c>
      <c r="H47" s="77" t="n">
        <v>1.3</v>
      </c>
      <c r="I47" s="77">
        <f>ROUND((F47+G47)*H47,1)</f>
        <v/>
      </c>
      <c r="J47" s="77">
        <f>I47</f>
        <v/>
      </c>
      <c r="K47" s="77">
        <f>I47*3</f>
        <v/>
      </c>
      <c r="L47" s="77" t="inlineStr">
        <is>
          <t>◆</t>
        </is>
      </c>
    </row>
    <row r="48" ht="15" customHeight="1" s="78">
      <c r="A48" s="77" t="inlineStr">
        <is>
          <t>LP-E</t>
        </is>
      </c>
      <c r="B48" s="77" t="inlineStr">
        <is>
          <t>1</t>
        </is>
      </c>
      <c r="C48" s="77" t="inlineStr">
        <is>
          <t>A3 (에어커튼)</t>
        </is>
      </c>
      <c r="D48" s="77" t="inlineStr">
        <is>
          <t>HFIX 4㎟ 3C</t>
        </is>
      </c>
      <c r="E48" s="77" t="inlineStr">
        <is>
          <t>ST 22</t>
        </is>
      </c>
      <c r="F48" s="77" t="n">
        <v>10</v>
      </c>
      <c r="G48" s="77" t="n">
        <v>0</v>
      </c>
      <c r="H48" s="77" t="n">
        <v>1.3</v>
      </c>
      <c r="I48" s="77">
        <f>ROUND((F48+G48)*H48,1)</f>
        <v/>
      </c>
      <c r="J48" s="77">
        <f>I48</f>
        <v/>
      </c>
      <c r="K48" s="77">
        <f>I48*3</f>
        <v/>
      </c>
      <c r="L48" s="77" t="inlineStr">
        <is>
          <t>◆</t>
        </is>
      </c>
    </row>
    <row r="49" ht="15" customHeight="1" s="78">
      <c r="A49" s="77" t="inlineStr">
        <is>
          <t>LP-E</t>
        </is>
      </c>
      <c r="B49" s="77" t="inlineStr">
        <is>
          <t>2</t>
        </is>
      </c>
      <c r="C49" s="77" t="inlineStr">
        <is>
          <t>ER2 (매니저룸)</t>
        </is>
      </c>
      <c r="D49" s="77" t="inlineStr">
        <is>
          <t>HFIX 2.5㎟ 3C</t>
        </is>
      </c>
      <c r="E49" s="77" t="inlineStr">
        <is>
          <t>ST 16</t>
        </is>
      </c>
      <c r="F49" s="77" t="n">
        <v>6</v>
      </c>
      <c r="G49" s="77" t="n">
        <v>0</v>
      </c>
      <c r="H49" s="77" t="n">
        <v>1.3</v>
      </c>
      <c r="I49" s="77">
        <f>ROUND((F49+G49)*H49,1)</f>
        <v/>
      </c>
      <c r="J49" s="77">
        <f>I49</f>
        <v/>
      </c>
      <c r="K49" s="77">
        <f>I49*3</f>
        <v/>
      </c>
      <c r="L49" s="77" t="inlineStr">
        <is>
          <t>◆</t>
        </is>
      </c>
    </row>
    <row r="50" ht="15" customHeight="1" s="78">
      <c r="A50" s="77" t="inlineStr">
        <is>
          <t>LP-E</t>
        </is>
      </c>
      <c r="B50" s="77" t="inlineStr">
        <is>
          <t>3</t>
        </is>
      </c>
      <c r="C50" s="77" t="inlineStr">
        <is>
          <t>ER3 (매니저룸(단상RACK))</t>
        </is>
      </c>
      <c r="D50" s="77" t="inlineStr">
        <is>
          <t>HFIX 2.5㎟ 3C</t>
        </is>
      </c>
      <c r="E50" s="77" t="inlineStr">
        <is>
          <t>ST 16</t>
        </is>
      </c>
      <c r="F50" s="77" t="n">
        <v>6</v>
      </c>
      <c r="G50" s="77" t="n">
        <v>0</v>
      </c>
      <c r="H50" s="77" t="n">
        <v>1.3</v>
      </c>
      <c r="I50" s="77">
        <f>ROUND((F50+G50)*H50,1)</f>
        <v/>
      </c>
      <c r="J50" s="77">
        <f>I50</f>
        <v/>
      </c>
      <c r="K50" s="77">
        <f>I50*3</f>
        <v/>
      </c>
      <c r="L50" s="77" t="inlineStr">
        <is>
          <t>◆</t>
        </is>
      </c>
    </row>
    <row r="51" ht="15" customHeight="1" s="78">
      <c r="A51" s="77" t="inlineStr">
        <is>
          <t>LP-E</t>
        </is>
      </c>
      <c r="B51" s="77" t="inlineStr">
        <is>
          <t>4</t>
        </is>
      </c>
      <c r="C51" s="77" t="inlineStr">
        <is>
          <t>SP1 (간이 스프링쿨러)</t>
        </is>
      </c>
      <c r="D51" s="77" t="inlineStr">
        <is>
          <t>HFIX 2.5㎟ 3C</t>
        </is>
      </c>
      <c r="E51" s="77" t="inlineStr">
        <is>
          <t>ST 16</t>
        </is>
      </c>
      <c r="F51" s="77" t="n">
        <v>15</v>
      </c>
      <c r="G51" s="77" t="n">
        <v>3</v>
      </c>
      <c r="H51" s="77" t="n">
        <v>1.3</v>
      </c>
      <c r="I51" s="77">
        <f>ROUND((F51+G51)*H51,1)</f>
        <v/>
      </c>
      <c r="J51" s="77">
        <f>I51</f>
        <v/>
      </c>
      <c r="K51" s="77">
        <f>I51*3</f>
        <v/>
      </c>
      <c r="L51" s="77" t="inlineStr">
        <is>
          <t>◆</t>
        </is>
      </c>
    </row>
    <row r="52" ht="15" customHeight="1" s="78">
      <c r="A52" s="77" t="inlineStr">
        <is>
          <t>LP-E</t>
        </is>
      </c>
      <c r="B52" s="77" t="inlineStr">
        <is>
          <t>5</t>
        </is>
      </c>
      <c r="C52" s="77" t="inlineStr">
        <is>
          <t>ER5 (가스경보)</t>
        </is>
      </c>
      <c r="D52" s="77" t="inlineStr">
        <is>
          <t>HFIX 2.5㎟ 3C</t>
        </is>
      </c>
      <c r="E52" s="77" t="inlineStr">
        <is>
          <t>ST 16</t>
        </is>
      </c>
      <c r="F52" s="77" t="n">
        <v>6</v>
      </c>
      <c r="G52" s="77" t="n">
        <v>0</v>
      </c>
      <c r="H52" s="77" t="n">
        <v>1.3</v>
      </c>
      <c r="I52" s="77">
        <f>ROUND((F52+G52)*H52,1)</f>
        <v/>
      </c>
      <c r="J52" s="77">
        <f>I52</f>
        <v/>
      </c>
      <c r="K52" s="77">
        <f>I52*3</f>
        <v/>
      </c>
      <c r="L52" s="77" t="inlineStr">
        <is>
          <t>◆</t>
        </is>
      </c>
    </row>
    <row r="53" ht="15" customHeight="1" s="78">
      <c r="A53" s="77" t="inlineStr">
        <is>
          <t>LP-E</t>
        </is>
      </c>
      <c r="B53" s="77" t="inlineStr">
        <is>
          <t>6</t>
        </is>
      </c>
      <c r="C53" s="77" t="inlineStr">
        <is>
          <t>EX1 (유도등)</t>
        </is>
      </c>
      <c r="D53" s="77" t="inlineStr">
        <is>
          <t>HFIX 2.5㎟ 3C</t>
        </is>
      </c>
      <c r="E53" s="77" t="inlineStr">
        <is>
          <t>ST 16</t>
        </is>
      </c>
      <c r="F53" s="77" t="n">
        <v>15</v>
      </c>
      <c r="G53" s="77" t="n">
        <v>0</v>
      </c>
      <c r="H53" s="77" t="n">
        <v>1.3</v>
      </c>
      <c r="I53" s="77">
        <f>ROUND((F53+G53)*H53,1)</f>
        <v/>
      </c>
      <c r="J53" s="77">
        <f>I53</f>
        <v/>
      </c>
      <c r="K53" s="77">
        <f>I53*3</f>
        <v/>
      </c>
      <c r="L53" s="77" t="inlineStr">
        <is>
          <t>◆</t>
        </is>
      </c>
    </row>
    <row r="54" ht="15" customHeight="1" s="78">
      <c r="A54" s="77" t="inlineStr">
        <is>
          <t>LP-E</t>
        </is>
      </c>
      <c r="B54" s="77" t="inlineStr">
        <is>
          <t>7</t>
        </is>
      </c>
      <c r="F54" s="77" t="n">
        <v>10</v>
      </c>
      <c r="G54" s="77" t="n">
        <v>0</v>
      </c>
      <c r="H54" s="77" t="n">
        <v>1.3</v>
      </c>
      <c r="I54" s="77">
        <f>ROUND((F54+G54)*H54,1)</f>
        <v/>
      </c>
      <c r="J54" s="77">
        <f>I54</f>
        <v/>
      </c>
      <c r="K54" s="77">
        <f>I54*3</f>
        <v/>
      </c>
      <c r="L54" s="77" t="inlineStr">
        <is>
          <t>◆</t>
        </is>
      </c>
    </row>
    <row r="55" ht="15" customHeight="1" s="78">
      <c r="A55" s="77" t="inlineStr">
        <is>
          <t>LP-E</t>
        </is>
      </c>
      <c r="B55" s="77" t="inlineStr">
        <is>
          <t>8</t>
        </is>
      </c>
      <c r="C55" s="77" t="inlineStr">
        <is>
          <t>ET1 (1층 화장실 온수기)</t>
        </is>
      </c>
      <c r="D55" s="77" t="inlineStr">
        <is>
          <t>HFIX 4㎟ 3C</t>
        </is>
      </c>
      <c r="E55" s="77" t="inlineStr">
        <is>
          <t>ST 22</t>
        </is>
      </c>
      <c r="F55" s="77" t="n">
        <v>14</v>
      </c>
      <c r="G55" s="77" t="n">
        <v>0</v>
      </c>
      <c r="H55" s="77" t="n">
        <v>1.3</v>
      </c>
      <c r="I55" s="77">
        <f>ROUND((F55+G55)*H55,1)</f>
        <v/>
      </c>
      <c r="J55" s="77">
        <f>I55</f>
        <v/>
      </c>
      <c r="K55" s="77">
        <f>I55*3</f>
        <v/>
      </c>
      <c r="L55" s="77" t="inlineStr">
        <is>
          <t>◆</t>
        </is>
      </c>
    </row>
    <row r="56" ht="15" customHeight="1" s="78">
      <c r="A56" s="77" t="inlineStr">
        <is>
          <t>LP-E</t>
        </is>
      </c>
      <c r="B56" s="77" t="inlineStr">
        <is>
          <t>9</t>
        </is>
      </c>
      <c r="C56" s="77" t="inlineStr">
        <is>
          <t>EH1 (1층 화장실 히터)</t>
        </is>
      </c>
      <c r="D56" s="77" t="inlineStr">
        <is>
          <t>HFIX 4㎟ 3C</t>
        </is>
      </c>
      <c r="E56" s="77" t="inlineStr">
        <is>
          <t>ST 22</t>
        </is>
      </c>
      <c r="F56" s="77" t="n">
        <v>14</v>
      </c>
      <c r="G56" s="77" t="n">
        <v>0</v>
      </c>
      <c r="H56" s="77" t="n">
        <v>1.3</v>
      </c>
      <c r="I56" s="77">
        <f>ROUND((F56+G56)*H56,1)</f>
        <v/>
      </c>
      <c r="J56" s="77">
        <f>I56</f>
        <v/>
      </c>
      <c r="K56" s="77">
        <f>I56*3</f>
        <v/>
      </c>
      <c r="L56" s="77" t="inlineStr">
        <is>
          <t>◆</t>
        </is>
      </c>
    </row>
    <row r="57" ht="15" customHeight="1" s="78">
      <c r="A57" s="77" t="inlineStr">
        <is>
          <t>LP-E</t>
        </is>
      </c>
      <c r="B57" s="77" t="inlineStr">
        <is>
          <t>10</t>
        </is>
      </c>
      <c r="C57" s="77" t="inlineStr">
        <is>
          <t>A4 (에어커튼)</t>
        </is>
      </c>
      <c r="D57" s="77" t="inlineStr">
        <is>
          <t>HFIX 4㎟ 3C</t>
        </is>
      </c>
      <c r="E57" s="77" t="inlineStr">
        <is>
          <t>ST 22</t>
        </is>
      </c>
      <c r="F57" s="77" t="n">
        <v>10</v>
      </c>
      <c r="G57" s="77" t="n">
        <v>5</v>
      </c>
      <c r="H57" s="77" t="n">
        <v>1.3</v>
      </c>
      <c r="I57" s="77">
        <f>ROUND((F57+G57)*H57,1)</f>
        <v/>
      </c>
      <c r="J57" s="77">
        <f>I57</f>
        <v/>
      </c>
      <c r="K57" s="77">
        <f>I57*3</f>
        <v/>
      </c>
      <c r="L57" s="77" t="inlineStr">
        <is>
          <t>◆</t>
        </is>
      </c>
    </row>
    <row r="58" ht="15" customHeight="1" s="78">
      <c r="A58" s="77" t="inlineStr">
        <is>
          <t>LP-E</t>
        </is>
      </c>
      <c r="B58" s="77" t="inlineStr">
        <is>
          <t>11</t>
        </is>
      </c>
      <c r="C58" s="77" t="inlineStr">
        <is>
          <t>ER1 (매니저룸 (CCTV 모니터))</t>
        </is>
      </c>
      <c r="D58" s="77" t="inlineStr">
        <is>
          <t>HFIX 2.5㎟ 3C</t>
        </is>
      </c>
      <c r="E58" s="77" t="inlineStr">
        <is>
          <t>ST 16</t>
        </is>
      </c>
      <c r="F58" s="77" t="n">
        <v>6</v>
      </c>
      <c r="G58" s="77" t="n">
        <v>0</v>
      </c>
      <c r="H58" s="77" t="n">
        <v>1.3</v>
      </c>
      <c r="I58" s="77">
        <f>ROUND((F58+G58)*H58,1)</f>
        <v/>
      </c>
      <c r="J58" s="77">
        <f>I58</f>
        <v/>
      </c>
      <c r="K58" s="77">
        <f>I58*3</f>
        <v/>
      </c>
      <c r="L58" s="77" t="inlineStr">
        <is>
          <t>◆</t>
        </is>
      </c>
    </row>
    <row r="59" ht="15" customHeight="1" s="78">
      <c r="A59" s="77" t="inlineStr">
        <is>
          <t>LP-E</t>
        </is>
      </c>
      <c r="B59" s="77" t="inlineStr">
        <is>
          <t>12</t>
        </is>
      </c>
      <c r="C59" s="77" t="inlineStr">
        <is>
          <t>ER4 (매니저룸)</t>
        </is>
      </c>
      <c r="D59" s="77" t="inlineStr">
        <is>
          <t>HFIX 2.5㎟ 3C</t>
        </is>
      </c>
      <c r="E59" s="77" t="inlineStr">
        <is>
          <t>ST 16</t>
        </is>
      </c>
      <c r="F59" s="77" t="n">
        <v>6</v>
      </c>
      <c r="G59" s="77" t="n">
        <v>0</v>
      </c>
      <c r="H59" s="77" t="n">
        <v>1.3</v>
      </c>
      <c r="I59" s="77">
        <f>ROUND((F59+G59)*H59,1)</f>
        <v/>
      </c>
      <c r="J59" s="77">
        <f>I59</f>
        <v/>
      </c>
      <c r="K59" s="77">
        <f>I59*3</f>
        <v/>
      </c>
      <c r="L59" s="77" t="inlineStr">
        <is>
          <t>◆</t>
        </is>
      </c>
    </row>
    <row r="60" ht="15" customHeight="1" s="78">
      <c r="A60" s="77" t="inlineStr">
        <is>
          <t>LP-E</t>
        </is>
      </c>
      <c r="B60" s="77" t="inlineStr">
        <is>
          <t>13</t>
        </is>
      </c>
      <c r="C60" s="77" t="inlineStr">
        <is>
          <t>F1 (자동확산소화기)</t>
        </is>
      </c>
      <c r="D60" s="77" t="inlineStr">
        <is>
          <t>HFIX 2.5㎟ 3C</t>
        </is>
      </c>
      <c r="E60" s="77" t="inlineStr">
        <is>
          <t>ST 16</t>
        </is>
      </c>
      <c r="F60" s="77" t="n">
        <v>15</v>
      </c>
      <c r="G60" s="77" t="n">
        <v>0</v>
      </c>
      <c r="H60" s="77" t="n">
        <v>1.3</v>
      </c>
      <c r="I60" s="77">
        <f>ROUND((F60+G60)*H60,1)</f>
        <v/>
      </c>
      <c r="J60" s="77">
        <f>I60</f>
        <v/>
      </c>
      <c r="K60" s="77">
        <f>I60*3</f>
        <v/>
      </c>
      <c r="L60" s="77" t="inlineStr">
        <is>
          <t>◆</t>
        </is>
      </c>
    </row>
    <row r="61" ht="15" customHeight="1" s="78">
      <c r="A61" s="77" t="inlineStr">
        <is>
          <t>LP-E</t>
        </is>
      </c>
      <c r="B61" s="77" t="inlineStr">
        <is>
          <t>14</t>
        </is>
      </c>
      <c r="C61" s="77" t="inlineStr">
        <is>
          <t>DC1 (DC등 (비상조명))</t>
        </is>
      </c>
      <c r="D61" s="77" t="inlineStr">
        <is>
          <t>HFIX 2.5㎟ 3C</t>
        </is>
      </c>
      <c r="E61" s="77" t="inlineStr">
        <is>
          <t>ST 16</t>
        </is>
      </c>
      <c r="F61" s="77" t="n">
        <v>15</v>
      </c>
      <c r="G61" s="77" t="n">
        <v>0</v>
      </c>
      <c r="H61" s="77" t="n">
        <v>1.3</v>
      </c>
      <c r="I61" s="77">
        <f>ROUND((F61+G61)*H61,1)</f>
        <v/>
      </c>
      <c r="J61" s="77">
        <f>I61</f>
        <v/>
      </c>
      <c r="K61" s="77">
        <f>I61*3</f>
        <v/>
      </c>
      <c r="L61" s="77" t="inlineStr">
        <is>
          <t>◆</t>
        </is>
      </c>
    </row>
    <row r="62" ht="15" customHeight="1" s="78">
      <c r="A62" s="77" t="inlineStr">
        <is>
          <t>LP-E</t>
        </is>
      </c>
      <c r="B62" s="77" t="inlineStr">
        <is>
          <t>15</t>
        </is>
      </c>
      <c r="C62" s="77" t="inlineStr">
        <is>
          <t>ET2 (2층 화장실 온수기)</t>
        </is>
      </c>
      <c r="D62" s="77" t="inlineStr">
        <is>
          <t>HFIX 4㎟ 3C</t>
        </is>
      </c>
      <c r="E62" s="77" t="inlineStr">
        <is>
          <t>ST 22</t>
        </is>
      </c>
      <c r="F62" s="77" t="n">
        <v>14</v>
      </c>
      <c r="G62" s="77" t="n">
        <v>5</v>
      </c>
      <c r="H62" s="77" t="n">
        <v>1.3</v>
      </c>
      <c r="I62" s="77">
        <f>ROUND((F62+G62)*H62,1)</f>
        <v/>
      </c>
      <c r="J62" s="77">
        <f>I62</f>
        <v/>
      </c>
      <c r="K62" s="77">
        <f>I62*3</f>
        <v/>
      </c>
      <c r="L62" s="77" t="inlineStr">
        <is>
          <t>◆</t>
        </is>
      </c>
    </row>
    <row r="63" ht="15" customHeight="1" s="78">
      <c r="A63" s="77" t="inlineStr">
        <is>
          <t>LP-E</t>
        </is>
      </c>
      <c r="B63" s="77" t="inlineStr">
        <is>
          <t>16</t>
        </is>
      </c>
      <c r="C63" s="77" t="inlineStr">
        <is>
          <t>EH2 (2층 화장실 히터)</t>
        </is>
      </c>
      <c r="D63" s="77" t="inlineStr">
        <is>
          <t>HFIX 4㎟ 3C</t>
        </is>
      </c>
      <c r="E63" s="77" t="inlineStr">
        <is>
          <t>ST 22</t>
        </is>
      </c>
      <c r="F63" s="77" t="n">
        <v>14</v>
      </c>
      <c r="G63" s="77" t="n">
        <v>5</v>
      </c>
      <c r="H63" s="77" t="n">
        <v>1.3</v>
      </c>
      <c r="I63" s="77">
        <f>ROUND((F63+G63)*H63,1)</f>
        <v/>
      </c>
      <c r="J63" s="77">
        <f>I63</f>
        <v/>
      </c>
      <c r="K63" s="77">
        <f>I63*3</f>
        <v/>
      </c>
      <c r="L63" s="77" t="inlineStr">
        <is>
          <t>◆</t>
        </is>
      </c>
    </row>
    <row r="64" ht="15" customHeight="1" s="78">
      <c r="A64" s="77" t="inlineStr">
        <is>
          <t>LP-2M</t>
        </is>
      </c>
      <c r="B64" s="77" t="inlineStr">
        <is>
          <t>1</t>
        </is>
      </c>
      <c r="C64" s="77" t="inlineStr">
        <is>
          <t>OAC-3 (실외기3)</t>
        </is>
      </c>
      <c r="D64" s="77" t="inlineStr">
        <is>
          <t>HFIX 4㎟ 4C</t>
        </is>
      </c>
      <c r="E64" s="77" t="inlineStr">
        <is>
          <t>ST 22</t>
        </is>
      </c>
      <c r="F64" s="77" t="n">
        <v>18</v>
      </c>
      <c r="G64" s="77" t="n">
        <v>15</v>
      </c>
      <c r="H64" s="77" t="n">
        <v>1.3</v>
      </c>
      <c r="I64" s="77">
        <f>ROUND((F64+G64)*H64,1)</f>
        <v/>
      </c>
      <c r="J64" s="77">
        <f>I64</f>
        <v/>
      </c>
      <c r="K64" s="77">
        <f>I64*4</f>
        <v/>
      </c>
      <c r="L64" s="77" t="inlineStr">
        <is>
          <t>◆</t>
        </is>
      </c>
    </row>
    <row r="65" ht="15" customHeight="1" s="78">
      <c r="A65" s="77" t="inlineStr">
        <is>
          <t>LP-2M</t>
        </is>
      </c>
      <c r="B65" s="77" t="inlineStr">
        <is>
          <t>3</t>
        </is>
      </c>
      <c r="C65" s="77" t="inlineStr">
        <is>
          <t>A1 (실내기1)</t>
        </is>
      </c>
      <c r="D65" s="77" t="inlineStr">
        <is>
          <t>HFIX 4㎟ 3C</t>
        </is>
      </c>
      <c r="E65" s="77" t="inlineStr">
        <is>
          <t>ST 22</t>
        </is>
      </c>
      <c r="F65" s="77" t="n">
        <v>8</v>
      </c>
      <c r="G65" s="77" t="n">
        <v>0</v>
      </c>
      <c r="H65" s="77" t="n">
        <v>1.3</v>
      </c>
      <c r="I65" s="77">
        <f>ROUND((F65+G65)*H65,1)</f>
        <v/>
      </c>
      <c r="J65" s="77">
        <f>I65</f>
        <v/>
      </c>
      <c r="K65" s="77">
        <f>I65*3</f>
        <v/>
      </c>
      <c r="L65" s="77" t="inlineStr">
        <is>
          <t>◆</t>
        </is>
      </c>
    </row>
    <row r="66" ht="15" customHeight="1" s="78">
      <c r="A66" s="77" t="inlineStr">
        <is>
          <t>LP-2M</t>
        </is>
      </c>
      <c r="B66" s="77" t="inlineStr">
        <is>
          <t>4</t>
        </is>
      </c>
      <c r="C66" s="77" t="inlineStr">
        <is>
          <t>K1 (FOUNTAIN DISP)</t>
        </is>
      </c>
      <c r="D66" s="77" t="inlineStr">
        <is>
          <t>F-CV 4㎟ 3C</t>
        </is>
      </c>
      <c r="E66" s="77" t="inlineStr">
        <is>
          <t>ST 28</t>
        </is>
      </c>
      <c r="F66" s="77" t="n">
        <v>8</v>
      </c>
      <c r="G66" s="77" t="n">
        <v>0</v>
      </c>
      <c r="H66" s="77" t="n">
        <v>1.3</v>
      </c>
      <c r="I66" s="77">
        <f>ROUND((F66+G66)*H66,1)</f>
        <v/>
      </c>
      <c r="J66" s="77">
        <f>I66</f>
        <v/>
      </c>
      <c r="K66" s="77">
        <f>I66*3</f>
        <v/>
      </c>
      <c r="L66" s="77" t="inlineStr">
        <is>
          <t>◆</t>
        </is>
      </c>
    </row>
    <row r="67" ht="15" customHeight="1" s="78">
      <c r="A67" s="77" t="inlineStr">
        <is>
          <t>LP-2M</t>
        </is>
      </c>
      <c r="B67" s="77" t="inlineStr">
        <is>
          <t>5</t>
        </is>
      </c>
      <c r="C67" s="77" t="inlineStr">
        <is>
          <t>K3 (FOUNTAIN DISP)</t>
        </is>
      </c>
      <c r="D67" s="77" t="inlineStr">
        <is>
          <t>F-CV 4㎟ 3C</t>
        </is>
      </c>
      <c r="E67" s="77" t="inlineStr">
        <is>
          <t>ST 28</t>
        </is>
      </c>
      <c r="F67" s="77" t="n">
        <v>8</v>
      </c>
      <c r="G67" s="77" t="n">
        <v>0</v>
      </c>
      <c r="H67" s="77" t="n">
        <v>1.3</v>
      </c>
      <c r="I67" s="77">
        <f>ROUND((F67+G67)*H67,1)</f>
        <v/>
      </c>
      <c r="J67" s="77">
        <f>I67</f>
        <v/>
      </c>
      <c r="K67" s="77">
        <f>I67*3</f>
        <v/>
      </c>
      <c r="L67" s="77" t="inlineStr">
        <is>
          <t>◆</t>
        </is>
      </c>
    </row>
    <row r="68" ht="15" customHeight="1" s="78">
      <c r="A68" s="77" t="inlineStr">
        <is>
          <t>LP-2M</t>
        </is>
      </c>
      <c r="B68" s="77" t="inlineStr">
        <is>
          <t>6</t>
        </is>
      </c>
      <c r="C68" s="77" t="inlineStr">
        <is>
          <t>R1 (청소용/포장등)</t>
        </is>
      </c>
      <c r="D68" s="77" t="inlineStr">
        <is>
          <t>HFIX 4㎟ 3C</t>
        </is>
      </c>
      <c r="E68" s="77" t="inlineStr">
        <is>
          <t>ST 22</t>
        </is>
      </c>
      <c r="F68" s="77" t="n">
        <v>12</v>
      </c>
      <c r="G68" s="77" t="n">
        <v>0</v>
      </c>
      <c r="H68" s="77" t="n">
        <v>1.3</v>
      </c>
      <c r="I68" s="77">
        <f>ROUND((F68+G68)*H68,1)</f>
        <v/>
      </c>
      <c r="J68" s="77">
        <f>I68</f>
        <v/>
      </c>
      <c r="K68" s="77">
        <f>I68*3</f>
        <v/>
      </c>
      <c r="L68" s="77" t="inlineStr">
        <is>
          <t>◆</t>
        </is>
      </c>
    </row>
    <row r="69" ht="15" customHeight="1" s="78">
      <c r="A69" s="77" t="inlineStr">
        <is>
          <t>LP-2M</t>
        </is>
      </c>
      <c r="B69" s="77" t="inlineStr">
        <is>
          <t>7</t>
        </is>
      </c>
      <c r="C69" s="77" t="inlineStr">
        <is>
          <t>ERV1 (전열교환기1)</t>
        </is>
      </c>
      <c r="D69" s="77" t="inlineStr">
        <is>
          <t>HFIX 2.5㎟ 3C</t>
        </is>
      </c>
      <c r="E69" s="77" t="inlineStr">
        <is>
          <t>ST 16</t>
        </is>
      </c>
      <c r="F69" s="77" t="n">
        <v>10</v>
      </c>
      <c r="G69" s="77" t="n">
        <v>0</v>
      </c>
      <c r="H69" s="77" t="n">
        <v>1.3</v>
      </c>
      <c r="I69" s="77">
        <f>ROUND((F69+G69)*H69,1)</f>
        <v/>
      </c>
      <c r="J69" s="77">
        <f>I69</f>
        <v/>
      </c>
      <c r="K69" s="77">
        <f>I69*3</f>
        <v/>
      </c>
      <c r="L69" s="77" t="inlineStr">
        <is>
          <t>◆</t>
        </is>
      </c>
    </row>
    <row r="70" ht="15" customHeight="1" s="78">
      <c r="A70" s="77" t="inlineStr">
        <is>
          <t>LP-2M</t>
        </is>
      </c>
      <c r="B70" s="77" t="inlineStr">
        <is>
          <t>8</t>
        </is>
      </c>
      <c r="C70" s="77" t="inlineStr">
        <is>
          <t>L1 (LIGHTING)</t>
        </is>
      </c>
      <c r="D70" s="77" t="inlineStr">
        <is>
          <t>HFIX 2.5㎟ 3C</t>
        </is>
      </c>
      <c r="E70" s="77" t="inlineStr">
        <is>
          <t>ST 16</t>
        </is>
      </c>
      <c r="F70" s="77" t="n">
        <v>25</v>
      </c>
      <c r="G70" s="77" t="n">
        <v>0</v>
      </c>
      <c r="H70" s="77" t="n">
        <v>1.3</v>
      </c>
      <c r="I70" s="77">
        <f>ROUND((F70+G70)*H70,1)</f>
        <v/>
      </c>
      <c r="J70" s="77">
        <f>I70</f>
        <v/>
      </c>
      <c r="K70" s="77">
        <f>I70*3</f>
        <v/>
      </c>
      <c r="L70" s="77" t="inlineStr">
        <is>
          <t>◆</t>
        </is>
      </c>
    </row>
    <row r="71" ht="15" customHeight="1" s="78">
      <c r="A71" s="77" t="inlineStr">
        <is>
          <t>LP-2M</t>
        </is>
      </c>
      <c r="B71" s="77" t="inlineStr">
        <is>
          <t>9</t>
        </is>
      </c>
      <c r="C71" s="77" t="inlineStr">
        <is>
          <t>EX1 (유도등)</t>
        </is>
      </c>
      <c r="D71" s="77" t="inlineStr">
        <is>
          <t>HFIX 2.5㎟ 3C</t>
        </is>
      </c>
      <c r="E71" s="77" t="inlineStr">
        <is>
          <t>ST 16</t>
        </is>
      </c>
      <c r="F71" s="77" t="n">
        <v>10</v>
      </c>
      <c r="G71" s="77" t="n">
        <v>0</v>
      </c>
      <c r="H71" s="77" t="n">
        <v>1.3</v>
      </c>
      <c r="I71" s="77">
        <f>ROUND((F71+G71)*H71,1)</f>
        <v/>
      </c>
      <c r="J71" s="77">
        <f>I71</f>
        <v/>
      </c>
      <c r="K71" s="77">
        <f>I71*3</f>
        <v/>
      </c>
      <c r="L71" s="77" t="inlineStr">
        <is>
          <t>◆</t>
        </is>
      </c>
    </row>
    <row r="72" ht="15" customHeight="1" s="78">
      <c r="A72" s="77" t="inlineStr">
        <is>
          <t>LP-2M</t>
        </is>
      </c>
      <c r="B72" s="77" t="inlineStr">
        <is>
          <t>10</t>
        </is>
      </c>
      <c r="C72" s="77" t="inlineStr">
        <is>
          <t>AD1 (자동문)</t>
        </is>
      </c>
      <c r="D72" s="77" t="inlineStr">
        <is>
          <t>HFIX 2.5㎟ 3C</t>
        </is>
      </c>
      <c r="E72" s="77" t="inlineStr">
        <is>
          <t>ST 16</t>
        </is>
      </c>
      <c r="F72" s="77" t="n">
        <v>8</v>
      </c>
      <c r="G72" s="77" t="n">
        <v>0</v>
      </c>
      <c r="H72" s="77" t="n">
        <v>1.3</v>
      </c>
      <c r="I72" s="77">
        <f>ROUND((F72+G72)*H72,1)</f>
        <v/>
      </c>
      <c r="J72" s="77">
        <f>I72</f>
        <v/>
      </c>
      <c r="K72" s="77">
        <f>I72*3</f>
        <v/>
      </c>
      <c r="L72" s="77" t="inlineStr">
        <is>
          <t>◆</t>
        </is>
      </c>
    </row>
    <row r="73" ht="15" customHeight="1" s="78">
      <c r="A73" s="77" t="inlineStr">
        <is>
          <t>LP-2M</t>
        </is>
      </c>
      <c r="B73" s="77" t="inlineStr">
        <is>
          <t>11</t>
        </is>
      </c>
      <c r="F73" s="77" t="n">
        <v>10</v>
      </c>
      <c r="G73" s="77" t="n">
        <v>0</v>
      </c>
      <c r="H73" s="77" t="n">
        <v>1.3</v>
      </c>
      <c r="I73" s="77">
        <f>ROUND((F73+G73)*H73,1)</f>
        <v/>
      </c>
      <c r="J73" s="77">
        <f>I73</f>
        <v/>
      </c>
      <c r="K73" s="77">
        <f>I73*3</f>
        <v/>
      </c>
      <c r="L73" s="77" t="inlineStr">
        <is>
          <t>◆</t>
        </is>
      </c>
    </row>
    <row r="74" ht="15" customHeight="1" s="78">
      <c r="A74" s="77" t="inlineStr">
        <is>
          <t>LP-2M</t>
        </is>
      </c>
      <c r="B74" s="77" t="inlineStr">
        <is>
          <t>15</t>
        </is>
      </c>
      <c r="C74" s="77" t="inlineStr">
        <is>
          <t>A2 (실내기2)</t>
        </is>
      </c>
      <c r="D74" s="77" t="inlineStr">
        <is>
          <t>HFIX 4㎟ 3C</t>
        </is>
      </c>
      <c r="E74" s="77" t="inlineStr">
        <is>
          <t>ST 22</t>
        </is>
      </c>
      <c r="F74" s="77" t="n">
        <v>8</v>
      </c>
      <c r="G74" s="77" t="n">
        <v>0</v>
      </c>
      <c r="H74" s="77" t="n">
        <v>1.3</v>
      </c>
      <c r="I74" s="77">
        <f>ROUND((F74+G74)*H74,1)</f>
        <v/>
      </c>
      <c r="J74" s="77">
        <f>I74</f>
        <v/>
      </c>
      <c r="K74" s="77">
        <f>I74*3</f>
        <v/>
      </c>
      <c r="L74" s="77" t="inlineStr">
        <is>
          <t>◆</t>
        </is>
      </c>
    </row>
    <row r="75" ht="15" customHeight="1" s="78">
      <c r="A75" s="77" t="inlineStr">
        <is>
          <t>LP-2M</t>
        </is>
      </c>
      <c r="B75" s="77" t="inlineStr">
        <is>
          <t>16</t>
        </is>
      </c>
      <c r="C75" s="77" t="inlineStr">
        <is>
          <t>K2 (ICE CUBE)</t>
        </is>
      </c>
      <c r="D75" s="77" t="inlineStr">
        <is>
          <t>F-CV 4㎟ 3C</t>
        </is>
      </c>
      <c r="E75" s="77" t="inlineStr">
        <is>
          <t>ST 28</t>
        </is>
      </c>
      <c r="F75" s="77" t="n">
        <v>8</v>
      </c>
      <c r="G75" s="77" t="n">
        <v>0</v>
      </c>
      <c r="H75" s="77" t="n">
        <v>1.3</v>
      </c>
      <c r="I75" s="77">
        <f>ROUND((F75+G75)*H75,1)</f>
        <v/>
      </c>
      <c r="J75" s="77">
        <f>I75</f>
        <v/>
      </c>
      <c r="K75" s="77">
        <f>I75*3</f>
        <v/>
      </c>
      <c r="L75" s="77" t="inlineStr">
        <is>
          <t>◆</t>
        </is>
      </c>
    </row>
    <row r="76" ht="15" customHeight="1" s="78">
      <c r="A76" s="77" t="inlineStr">
        <is>
          <t>LP-2M</t>
        </is>
      </c>
      <c r="B76" s="77" t="inlineStr">
        <is>
          <t>17</t>
        </is>
      </c>
      <c r="C76" s="77" t="inlineStr">
        <is>
          <t>K4 (ICE CUBE)</t>
        </is>
      </c>
      <c r="D76" s="77" t="inlineStr">
        <is>
          <t>F-CV 4㎟ 3C</t>
        </is>
      </c>
      <c r="E76" s="77" t="inlineStr">
        <is>
          <t>ST 28</t>
        </is>
      </c>
      <c r="F76" s="77" t="n">
        <v>8</v>
      </c>
      <c r="G76" s="77" t="n">
        <v>0</v>
      </c>
      <c r="H76" s="77" t="n">
        <v>1.3</v>
      </c>
      <c r="I76" s="77">
        <f>ROUND((F76+G76)*H76,1)</f>
        <v/>
      </c>
      <c r="J76" s="77">
        <f>I76</f>
        <v/>
      </c>
      <c r="K76" s="77">
        <f>I76*3</f>
        <v/>
      </c>
      <c r="L76" s="77" t="inlineStr">
        <is>
          <t>◆</t>
        </is>
      </c>
    </row>
    <row r="77" ht="15" customHeight="1" s="78">
      <c r="A77" s="77" t="inlineStr">
        <is>
          <t>LP-2M</t>
        </is>
      </c>
      <c r="B77" s="77" t="inlineStr">
        <is>
          <t>18</t>
        </is>
      </c>
      <c r="C77" s="77" t="inlineStr">
        <is>
          <t>R2 (콘센트)</t>
        </is>
      </c>
      <c r="D77" s="77" t="inlineStr">
        <is>
          <t>HFIX 4㎟ 3C</t>
        </is>
      </c>
      <c r="E77" s="77" t="inlineStr">
        <is>
          <t>ST 22</t>
        </is>
      </c>
      <c r="F77" s="77" t="n">
        <v>12</v>
      </c>
      <c r="G77" s="77" t="n">
        <v>0</v>
      </c>
      <c r="H77" s="77" t="n">
        <v>1.3</v>
      </c>
      <c r="I77" s="77">
        <f>ROUND((F77+G77)*H77,1)</f>
        <v/>
      </c>
      <c r="J77" s="77">
        <f>I77</f>
        <v/>
      </c>
      <c r="K77" s="77">
        <f>I77*3</f>
        <v/>
      </c>
      <c r="L77" s="77" t="inlineStr">
        <is>
          <t>◆</t>
        </is>
      </c>
    </row>
    <row r="78" ht="15" customHeight="1" s="78">
      <c r="A78" s="77" t="inlineStr">
        <is>
          <t>LP-2M</t>
        </is>
      </c>
      <c r="B78" s="77" t="inlineStr">
        <is>
          <t>19</t>
        </is>
      </c>
      <c r="C78" s="77" t="inlineStr">
        <is>
          <t>ERV2 (전열교환기2)</t>
        </is>
      </c>
      <c r="D78" s="77" t="inlineStr">
        <is>
          <t>HFIX 2.5㎟ 3C</t>
        </is>
      </c>
      <c r="E78" s="77" t="inlineStr">
        <is>
          <t>ST 16</t>
        </is>
      </c>
      <c r="F78" s="77" t="n">
        <v>10</v>
      </c>
      <c r="G78" s="77" t="n">
        <v>0</v>
      </c>
      <c r="H78" s="77" t="n">
        <v>1.3</v>
      </c>
      <c r="I78" s="77">
        <f>ROUND((F78+G78)*H78,1)</f>
        <v/>
      </c>
      <c r="J78" s="77">
        <f>I78</f>
        <v/>
      </c>
      <c r="K78" s="77">
        <f>I78*3</f>
        <v/>
      </c>
      <c r="L78" s="77" t="inlineStr">
        <is>
          <t>◆</t>
        </is>
      </c>
    </row>
    <row r="79" ht="15" customHeight="1" s="78">
      <c r="A79" s="77" t="inlineStr">
        <is>
          <t>LP-2M</t>
        </is>
      </c>
      <c r="B79" s="77" t="inlineStr">
        <is>
          <t>20</t>
        </is>
      </c>
      <c r="C79" s="77" t="inlineStr">
        <is>
          <t>L2 (LIGHTING)</t>
        </is>
      </c>
      <c r="D79" s="77" t="inlineStr">
        <is>
          <t>HFIX 2.5㎟ 3C</t>
        </is>
      </c>
      <c r="E79" s="77" t="inlineStr">
        <is>
          <t>ST 16</t>
        </is>
      </c>
      <c r="F79" s="77" t="n">
        <v>25</v>
      </c>
      <c r="G79" s="77" t="n">
        <v>0</v>
      </c>
      <c r="H79" s="77" t="n">
        <v>1.3</v>
      </c>
      <c r="I79" s="77">
        <f>ROUND((F79+G79)*H79,1)</f>
        <v/>
      </c>
      <c r="J79" s="77">
        <f>I79</f>
        <v/>
      </c>
      <c r="K79" s="77">
        <f>I79*3</f>
        <v/>
      </c>
      <c r="L79" s="77" t="inlineStr">
        <is>
          <t>◆</t>
        </is>
      </c>
    </row>
    <row r="80" ht="15" customHeight="1" s="78">
      <c r="A80" s="77" t="inlineStr">
        <is>
          <t>LP-2M</t>
        </is>
      </c>
      <c r="B80" s="77" t="inlineStr">
        <is>
          <t>21</t>
        </is>
      </c>
      <c r="C80" s="77" t="inlineStr">
        <is>
          <t>DC1 (비상조명등)</t>
        </is>
      </c>
      <c r="D80" s="77" t="inlineStr">
        <is>
          <t>HFIX 2.5㎟ 3C</t>
        </is>
      </c>
      <c r="E80" s="77" t="inlineStr">
        <is>
          <t>ST 16</t>
        </is>
      </c>
      <c r="F80" s="77" t="n">
        <v>15</v>
      </c>
      <c r="G80" s="77" t="n">
        <v>0</v>
      </c>
      <c r="H80" s="77" t="n">
        <v>1.3</v>
      </c>
      <c r="I80" s="77">
        <f>ROUND((F80+G80)*H80,1)</f>
        <v/>
      </c>
      <c r="J80" s="77">
        <f>I80</f>
        <v/>
      </c>
      <c r="K80" s="77">
        <f>I80*3</f>
        <v/>
      </c>
      <c r="L80" s="77" t="inlineStr">
        <is>
          <t>◆</t>
        </is>
      </c>
    </row>
    <row r="81" ht="15" customHeight="1" s="78">
      <c r="A81" s="77" t="inlineStr">
        <is>
          <t>LP-2M</t>
        </is>
      </c>
      <c r="B81" s="77" t="inlineStr">
        <is>
          <t>22</t>
        </is>
      </c>
      <c r="C81" s="77" t="inlineStr">
        <is>
          <t>P1 (방화셔터1)</t>
        </is>
      </c>
      <c r="D81" s="77" t="inlineStr">
        <is>
          <t>HFIX 4㎟ 3C</t>
        </is>
      </c>
      <c r="E81" s="77" t="inlineStr">
        <is>
          <t>ST 22</t>
        </is>
      </c>
      <c r="F81" s="77" t="n">
        <v>10</v>
      </c>
      <c r="G81" s="77" t="n">
        <v>0</v>
      </c>
      <c r="H81" s="77" t="n">
        <v>1.3</v>
      </c>
      <c r="I81" s="77">
        <f>ROUND((F81+G81)*H81,1)</f>
        <v/>
      </c>
      <c r="J81" s="77">
        <f>I81</f>
        <v/>
      </c>
      <c r="K81" s="77">
        <f>I81*3</f>
        <v/>
      </c>
      <c r="L81" s="77" t="inlineStr">
        <is>
          <t>◆</t>
        </is>
      </c>
    </row>
    <row r="82" ht="15" customHeight="1" s="78">
      <c r="A82" s="77" t="inlineStr">
        <is>
          <t>LP-2M</t>
        </is>
      </c>
      <c r="B82" s="77" t="inlineStr">
        <is>
          <t>23</t>
        </is>
      </c>
      <c r="C82" s="77" t="inlineStr">
        <is>
          <t>P2 (방화셔터2)</t>
        </is>
      </c>
      <c r="D82" s="77" t="inlineStr">
        <is>
          <t>HFIX 4㎟ 3C</t>
        </is>
      </c>
      <c r="E82" s="77" t="inlineStr">
        <is>
          <t>ST 22</t>
        </is>
      </c>
      <c r="F82" s="77" t="n">
        <v>10</v>
      </c>
      <c r="G82" s="77" t="n">
        <v>0</v>
      </c>
      <c r="H82" s="77" t="n">
        <v>1.3</v>
      </c>
      <c r="I82" s="77">
        <f>ROUND((F82+G82)*H82,1)</f>
        <v/>
      </c>
      <c r="J82" s="77">
        <f>I82</f>
        <v/>
      </c>
      <c r="K82" s="77">
        <f>I82*3</f>
        <v/>
      </c>
      <c r="L82" s="77" t="inlineStr">
        <is>
          <t>◆</t>
        </is>
      </c>
    </row>
    <row r="83" ht="15" customHeight="1" s="78">
      <c r="A83" s="101" t="inlineStr">
        <is>
          <t>온수기전원반</t>
        </is>
      </c>
      <c r="B83" s="77" t="inlineStr">
        <is>
          <t>1</t>
        </is>
      </c>
      <c r="C83" s="77" t="inlineStr">
        <is>
          <t>P1 (온수펌프1)</t>
        </is>
      </c>
      <c r="D83" s="77" t="inlineStr">
        <is>
          <t>HFIX 4㎟ 3C</t>
        </is>
      </c>
      <c r="E83" s="77" t="inlineStr">
        <is>
          <t>ST 22</t>
        </is>
      </c>
      <c r="F83" s="77" t="n">
        <v>4</v>
      </c>
      <c r="G83" s="77" t="n">
        <v>0</v>
      </c>
      <c r="H83" s="77" t="n">
        <v>1.3</v>
      </c>
      <c r="I83" s="77">
        <f>ROUND((F83+G83)*H83,1)</f>
        <v/>
      </c>
      <c r="J83" s="77">
        <f>I83</f>
        <v/>
      </c>
      <c r="K83" s="77">
        <f>I83*3</f>
        <v/>
      </c>
      <c r="L83" s="77" t="inlineStr">
        <is>
          <t>◆</t>
        </is>
      </c>
    </row>
    <row r="84" ht="15" customHeight="1" s="78">
      <c r="A84" s="101" t="inlineStr">
        <is>
          <t>온수기전원반</t>
        </is>
      </c>
      <c r="B84" s="77" t="inlineStr">
        <is>
          <t>2</t>
        </is>
      </c>
      <c r="C84" s="77" t="inlineStr">
        <is>
          <t>EW1 (전기온수기1)</t>
        </is>
      </c>
      <c r="D84" s="77" t="inlineStr">
        <is>
          <t>HFIX 4㎟ 3C</t>
        </is>
      </c>
      <c r="E84" s="77" t="inlineStr">
        <is>
          <t>ST 22</t>
        </is>
      </c>
      <c r="F84" s="77" t="n">
        <v>3</v>
      </c>
      <c r="G84" s="77" t="n">
        <v>0</v>
      </c>
      <c r="H84" s="77" t="n">
        <v>1.3</v>
      </c>
      <c r="I84" s="77">
        <f>ROUND((F84+G84)*H84,1)</f>
        <v/>
      </c>
      <c r="J84" s="77">
        <f>I84</f>
        <v/>
      </c>
      <c r="K84" s="77">
        <f>I84*3</f>
        <v/>
      </c>
      <c r="L84" s="77" t="inlineStr">
        <is>
          <t>◆</t>
        </is>
      </c>
    </row>
    <row r="85" ht="15" customHeight="1" s="78">
      <c r="A85" s="101" t="inlineStr">
        <is>
          <t>온수기전원반</t>
        </is>
      </c>
      <c r="B85" s="77" t="inlineStr">
        <is>
          <t>3</t>
        </is>
      </c>
      <c r="C85" s="77" t="inlineStr">
        <is>
          <t>EW2 (전기온수기2)</t>
        </is>
      </c>
      <c r="D85" s="77" t="inlineStr">
        <is>
          <t>HFIX 4㎟ 3C</t>
        </is>
      </c>
      <c r="E85" s="77" t="inlineStr">
        <is>
          <t>ST 22</t>
        </is>
      </c>
      <c r="F85" s="77" t="n">
        <v>3</v>
      </c>
      <c r="G85" s="77" t="n">
        <v>0</v>
      </c>
      <c r="H85" s="77" t="n">
        <v>1.3</v>
      </c>
      <c r="I85" s="77">
        <f>ROUND((F85+G85)*H85,1)</f>
        <v/>
      </c>
      <c r="J85" s="77">
        <f>I85</f>
        <v/>
      </c>
      <c r="K85" s="77">
        <f>I85*3</f>
        <v/>
      </c>
      <c r="L85" s="77" t="inlineStr">
        <is>
          <t>◆</t>
        </is>
      </c>
    </row>
    <row r="86" ht="15" customHeight="1" s="78">
      <c r="A86" s="101" t="inlineStr">
        <is>
          <t>온수기전원반</t>
        </is>
      </c>
      <c r="B86" s="77" t="inlineStr">
        <is>
          <t>4</t>
        </is>
      </c>
      <c r="C86" s="77" t="inlineStr">
        <is>
          <t>EW3 (전기온수기3)</t>
        </is>
      </c>
      <c r="D86" s="77" t="inlineStr">
        <is>
          <t>HFIX 4㎟ 3C</t>
        </is>
      </c>
      <c r="E86" s="77" t="inlineStr">
        <is>
          <t>ST 22</t>
        </is>
      </c>
      <c r="F86" s="77" t="n">
        <v>3</v>
      </c>
      <c r="G86" s="77" t="n">
        <v>0</v>
      </c>
      <c r="H86" s="77" t="n">
        <v>1.3</v>
      </c>
      <c r="I86" s="77">
        <f>ROUND((F86+G86)*H86,1)</f>
        <v/>
      </c>
      <c r="J86" s="77">
        <f>I86</f>
        <v/>
      </c>
      <c r="K86" s="77">
        <f>I86*3</f>
        <v/>
      </c>
      <c r="L86" s="77" t="inlineStr">
        <is>
          <t>◆</t>
        </is>
      </c>
    </row>
    <row r="87" ht="15" customHeight="1" s="78">
      <c r="A87" s="101" t="inlineStr">
        <is>
          <t>온수기전원반</t>
        </is>
      </c>
      <c r="B87" s="77" t="inlineStr">
        <is>
          <t>5</t>
        </is>
      </c>
      <c r="C87" s="77" t="inlineStr">
        <is>
          <t>EW4 (전기온수기4)</t>
        </is>
      </c>
      <c r="D87" s="77" t="inlineStr">
        <is>
          <t>HFIX 4㎟ 3C</t>
        </is>
      </c>
      <c r="E87" s="77" t="inlineStr">
        <is>
          <t>ST 22</t>
        </is>
      </c>
      <c r="F87" s="77" t="n">
        <v>3</v>
      </c>
      <c r="G87" s="77" t="n">
        <v>0</v>
      </c>
      <c r="H87" s="77" t="n">
        <v>1.3</v>
      </c>
      <c r="I87" s="77">
        <f>ROUND((F87+G87)*H87,1)</f>
        <v/>
      </c>
      <c r="J87" s="77">
        <f>I87</f>
        <v/>
      </c>
      <c r="K87" s="77">
        <f>I87*3</f>
        <v/>
      </c>
      <c r="L87" s="77" t="inlineStr">
        <is>
          <t>◆</t>
        </is>
      </c>
    </row>
    <row r="88" ht="15" customHeight="1" s="78">
      <c r="A88" s="101" t="inlineStr">
        <is>
          <t>온수기전원반</t>
        </is>
      </c>
      <c r="B88" s="77" t="inlineStr">
        <is>
          <t>6</t>
        </is>
      </c>
      <c r="C88" s="77" t="inlineStr">
        <is>
          <t>P2 (온수펌프2)</t>
        </is>
      </c>
      <c r="D88" s="77" t="inlineStr">
        <is>
          <t>HFIX 4㎟ 3C</t>
        </is>
      </c>
      <c r="E88" s="77" t="inlineStr">
        <is>
          <t>ST 22</t>
        </is>
      </c>
      <c r="F88" s="77" t="n">
        <v>4</v>
      </c>
      <c r="G88" s="77" t="n">
        <v>0</v>
      </c>
      <c r="H88" s="77" t="n">
        <v>1.3</v>
      </c>
      <c r="I88" s="77">
        <f>ROUND((F88+G88)*H88,1)</f>
        <v/>
      </c>
      <c r="J88" s="77">
        <f>I88</f>
        <v/>
      </c>
      <c r="K88" s="77">
        <f>I88*3</f>
        <v/>
      </c>
      <c r="L88" s="77" t="inlineStr">
        <is>
          <t>◆</t>
        </is>
      </c>
    </row>
    <row r="90" ht="15" customHeight="1" s="78">
      <c r="A90" s="154" t="inlineStr">
        <is>
          <t>소계 (분기 회로)</t>
        </is>
      </c>
      <c r="J90" s="154">
        <f>SUM(J5:J88)</f>
        <v/>
      </c>
      <c r="K90" s="154">
        <f>SUM(K5:K88)</f>
        <v/>
      </c>
    </row>
    <row r="92" ht="14.9" customHeight="1" s="78">
      <c r="A92" s="131" t="inlineStr">
        <is>
          <t>◆ 옥상 수배전반 간선 (별도 블록)</t>
        </is>
      </c>
    </row>
    <row r="93" ht="15" customHeight="1" s="78">
      <c r="A93" s="101" t="inlineStr">
        <is>
          <t>옥상 수배전반</t>
        </is>
      </c>
      <c r="B93" s="101" t="inlineStr">
        <is>
          <t>메인</t>
        </is>
      </c>
      <c r="C93" s="101" t="inlineStr">
        <is>
          <t>옥상→LP-1M (1F)</t>
        </is>
      </c>
      <c r="D93" s="77" t="inlineStr">
        <is>
          <t>F-CV 95㎟ 4C + F-GV 95㎟</t>
        </is>
      </c>
      <c r="E93" s="77" t="inlineStr">
        <is>
          <t>ST 36</t>
        </is>
      </c>
      <c r="F93" s="77" t="n">
        <v>8</v>
      </c>
      <c r="G93" s="77" t="n">
        <v>25</v>
      </c>
      <c r="H93" s="77" t="n">
        <v>1.18</v>
      </c>
      <c r="I93" s="77">
        <f>ROUND((F93+G93)*H93,1)</f>
        <v/>
      </c>
      <c r="J93" s="77">
        <f>I93</f>
        <v/>
      </c>
      <c r="K93" s="77">
        <f>I93*4+I93</f>
        <v/>
      </c>
      <c r="L93" s="77" t="inlineStr">
        <is>
          <t>●</t>
        </is>
      </c>
    </row>
    <row r="94" ht="15" customHeight="1" s="78">
      <c r="A94" s="101" t="inlineStr">
        <is>
          <t>옥상 수배전반</t>
        </is>
      </c>
      <c r="B94" s="101" t="inlineStr">
        <is>
          <t>분기</t>
        </is>
      </c>
      <c r="C94" s="101" t="inlineStr">
        <is>
          <t>옥상→LP-2M (2F)</t>
        </is>
      </c>
      <c r="D94" s="77" t="inlineStr">
        <is>
          <t>F-CV 25㎟ 4C + F-GV 25㎟</t>
        </is>
      </c>
      <c r="E94" s="77" t="inlineStr">
        <is>
          <t>ST 28</t>
        </is>
      </c>
      <c r="F94" s="77" t="n">
        <v>6</v>
      </c>
      <c r="G94" s="77" t="n">
        <v>20</v>
      </c>
      <c r="H94" s="77" t="n">
        <v>1.18</v>
      </c>
      <c r="I94" s="77">
        <f>ROUND((F94+G94)*H94,1)</f>
        <v/>
      </c>
      <c r="J94" s="77">
        <f>I94</f>
        <v/>
      </c>
      <c r="K94" s="77">
        <f>I94*4+I94</f>
        <v/>
      </c>
      <c r="L94" s="77" t="inlineStr">
        <is>
          <t>●</t>
        </is>
      </c>
    </row>
    <row r="95" ht="15" customHeight="1" s="78">
      <c r="A95" s="77" t="inlineStr">
        <is>
          <t>LP-1M</t>
        </is>
      </c>
      <c r="B95" s="101" t="inlineStr">
        <is>
          <t>분기</t>
        </is>
      </c>
      <c r="C95" s="77" t="inlineStr">
        <is>
          <t>LP-1M→LP-E</t>
        </is>
      </c>
      <c r="D95" s="77" t="inlineStr">
        <is>
          <t>F-CV 10㎟ 4C + F-GV 10㎟</t>
        </is>
      </c>
      <c r="E95" s="77" t="inlineStr">
        <is>
          <t>ST 28</t>
        </is>
      </c>
      <c r="F95" s="77" t="n">
        <v>1</v>
      </c>
      <c r="G95" s="77" t="n">
        <v>0.5</v>
      </c>
      <c r="H95" s="77" t="n">
        <v>1.3</v>
      </c>
      <c r="I95" s="77">
        <f>ROUND((F95+G95)*H95,1)</f>
        <v/>
      </c>
      <c r="J95" s="77">
        <f>I95</f>
        <v/>
      </c>
      <c r="K95" s="77">
        <f>I95*4+I95</f>
        <v/>
      </c>
      <c r="L95" s="77" t="inlineStr">
        <is>
          <t>●</t>
        </is>
      </c>
    </row>
    <row r="96" ht="15" customHeight="1" s="78">
      <c r="A96" s="77" t="inlineStr">
        <is>
          <t>LP-2M</t>
        </is>
      </c>
      <c r="B96" s="101" t="inlineStr">
        <is>
          <t>분기</t>
        </is>
      </c>
      <c r="C96" s="77" t="inlineStr">
        <is>
          <t>LP-2M→온수기반(B1F)</t>
        </is>
      </c>
      <c r="D96" s="77" t="inlineStr">
        <is>
          <t>F-CV 6㎟ 4C + E 6㎟</t>
        </is>
      </c>
      <c r="E96" s="77" t="inlineStr">
        <is>
          <t>ST 36</t>
        </is>
      </c>
      <c r="F96" s="77" t="n">
        <v>6</v>
      </c>
      <c r="G96" s="77" t="n">
        <v>15</v>
      </c>
      <c r="H96" s="77" t="n">
        <v>1.18</v>
      </c>
      <c r="I96" s="77">
        <f>ROUND((F96+G96)*H96,1)</f>
        <v/>
      </c>
      <c r="J96" s="77">
        <f>I96</f>
        <v/>
      </c>
      <c r="K96" s="77">
        <f>I96*4+I96</f>
        <v/>
      </c>
      <c r="L96" s="77" t="inlineStr">
        <is>
          <t>●</t>
        </is>
      </c>
    </row>
    <row r="98" ht="15" customHeight="1" s="78">
      <c r="A98" s="154" t="inlineStr">
        <is>
          <t>소계 (간선)</t>
        </is>
      </c>
      <c r="J98" s="154">
        <f>SUM(J93:J96)</f>
        <v/>
      </c>
      <c r="K98" s="154">
        <f>SUM(K93:K96)</f>
        <v/>
      </c>
    </row>
  </sheetData>
  <mergeCells count="3">
    <mergeCell ref="A92:L92"/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78" min="1" max="1"/>
    <col width="8" customWidth="1" style="78" min="2" max="2"/>
    <col width="28" customWidth="1" style="78" min="3" max="3"/>
    <col width="18" customWidth="1" style="78" min="4" max="4"/>
    <col width="6" customWidth="1" style="78" min="5" max="5"/>
    <col width="10" customWidth="1" style="78" min="6" max="6"/>
    <col width="28" customWidth="1" style="78" min="7" max="7"/>
    <col width="8" customWidth="1" style="78" min="8" max="8"/>
  </cols>
  <sheetData>
    <row r="1">
      <c r="A1" s="155" t="inlineStr">
        <is>
          <t>번호</t>
        </is>
      </c>
      <c r="B1" s="155" t="inlineStr">
        <is>
          <t>분류코드</t>
        </is>
      </c>
      <c r="C1" s="155" t="inlineStr">
        <is>
          <t>명칭</t>
        </is>
      </c>
      <c r="D1" s="155" t="inlineStr">
        <is>
          <t>규격</t>
        </is>
      </c>
      <c r="E1" s="155" t="inlineStr">
        <is>
          <t>단위</t>
        </is>
      </c>
      <c r="F1" s="155" t="inlineStr">
        <is>
          <t>수량</t>
        </is>
      </c>
      <c r="G1" s="155" t="inlineStr">
        <is>
          <t>산출근거</t>
        </is>
      </c>
      <c r="H1" s="155" t="inlineStr">
        <is>
          <t>신뢰도</t>
        </is>
      </c>
    </row>
    <row r="2" ht="14.25" customHeight="1" s="78">
      <c r="A2" s="156" t="inlineStr">
        <is>
          <t>1. 전력간선공사</t>
        </is>
      </c>
      <c r="B2" s="174" t="n"/>
      <c r="C2" s="174" t="n"/>
      <c r="D2" s="174" t="n"/>
      <c r="E2" s="174" t="n"/>
      <c r="F2" s="174" t="n"/>
      <c r="G2" s="174" t="n"/>
      <c r="H2" s="175" t="n"/>
    </row>
    <row r="3" ht="14.25" customHeight="1" s="78">
      <c r="A3" s="158" t="inlineStr">
        <is>
          <t xml:space="preserve">  [메인] 옥상→LP-1M (1F)</t>
        </is>
      </c>
      <c r="B3" s="174" t="n"/>
      <c r="C3" s="174" t="n"/>
      <c r="D3" s="174" t="n"/>
      <c r="E3" s="174" t="n"/>
      <c r="F3" s="174" t="n"/>
      <c r="G3" s="174" t="n"/>
      <c r="H3" s="175" t="n"/>
    </row>
    <row r="4">
      <c r="A4" s="148" t="n">
        <v>1</v>
      </c>
      <c r="B4" s="148" t="inlineStr">
        <is>
          <t>MAT</t>
        </is>
      </c>
      <c r="C4" s="149" t="inlineStr">
        <is>
          <t>강제전선관 (ST)</t>
        </is>
      </c>
      <c r="D4" s="149" t="inlineStr">
        <is>
          <t>36mm</t>
        </is>
      </c>
      <c r="E4" s="148" t="inlineStr">
        <is>
          <t>m</t>
        </is>
      </c>
      <c r="F4" s="160" t="n">
        <v>38.9</v>
      </c>
      <c r="G4" s="149" t="inlineStr">
        <is>
          <t>길이산출 38.9m</t>
        </is>
      </c>
      <c r="H4" s="148" t="inlineStr">
        <is>
          <t>●</t>
        </is>
      </c>
    </row>
    <row r="5">
      <c r="A5" s="148" t="n">
        <v>2</v>
      </c>
      <c r="B5" s="148" t="inlineStr">
        <is>
          <t>MAT</t>
        </is>
      </c>
      <c r="C5" s="149" t="inlineStr">
        <is>
          <t>F-CV + F-GV/E</t>
        </is>
      </c>
      <c r="D5" s="149" t="inlineStr">
        <is>
          <t>95㎟ 4C + F-GV 95㎟</t>
        </is>
      </c>
      <c r="E5" s="148" t="inlineStr">
        <is>
          <t>m</t>
        </is>
      </c>
      <c r="F5" s="160" t="n">
        <v>194.5</v>
      </c>
      <c r="G5" s="149" t="inlineStr">
        <is>
          <t>배관38.9m×가닥수</t>
        </is>
      </c>
      <c r="H5" s="148" t="inlineStr">
        <is>
          <t>●</t>
        </is>
      </c>
    </row>
    <row r="6">
      <c r="A6" s="161" t="inlineStr"/>
      <c r="B6" s="161" t="inlineStr">
        <is>
          <t>ACC</t>
        </is>
      </c>
      <c r="C6" s="162" t="inlineStr">
        <is>
          <t xml:space="preserve">  ↳ 커플링</t>
        </is>
      </c>
      <c r="D6" s="162" t="inlineStr">
        <is>
          <t>36mm</t>
        </is>
      </c>
      <c r="E6" s="161" t="inlineStr">
        <is>
          <t>EA</t>
        </is>
      </c>
      <c r="F6" s="163" t="n">
        <v>11</v>
      </c>
      <c r="G6" s="162" t="inlineStr">
        <is>
          <t>38.9m÷3.6</t>
        </is>
      </c>
      <c r="H6" s="161" t="inlineStr">
        <is>
          <t>◆</t>
        </is>
      </c>
    </row>
    <row r="7">
      <c r="A7" s="161" t="inlineStr"/>
      <c r="B7" s="161" t="inlineStr">
        <is>
          <t>ACC</t>
        </is>
      </c>
      <c r="C7" s="162" t="inlineStr">
        <is>
          <t xml:space="preserve">  ↳ 커넥터</t>
        </is>
      </c>
      <c r="D7" s="162" t="inlineStr">
        <is>
          <t>36mm</t>
        </is>
      </c>
      <c r="E7" s="161" t="inlineStr">
        <is>
          <t>EA</t>
        </is>
      </c>
      <c r="F7" s="163" t="n">
        <v>2</v>
      </c>
      <c r="G7" s="162" t="inlineStr">
        <is>
          <t>양단 2개</t>
        </is>
      </c>
      <c r="H7" s="161" t="inlineStr">
        <is>
          <t>◆</t>
        </is>
      </c>
    </row>
    <row r="8">
      <c r="A8" s="161" t="inlineStr"/>
      <c r="B8" s="161" t="inlineStr">
        <is>
          <t>ACC</t>
        </is>
      </c>
      <c r="C8" s="162" t="inlineStr">
        <is>
          <t xml:space="preserve">  ↳ 부싱</t>
        </is>
      </c>
      <c r="D8" s="162" t="inlineStr">
        <is>
          <t>36mm</t>
        </is>
      </c>
      <c r="E8" s="161" t="inlineStr">
        <is>
          <t>EA</t>
        </is>
      </c>
      <c r="F8" s="163" t="n">
        <v>2</v>
      </c>
      <c r="G8" s="162">
        <f>커넥터수</f>
        <v/>
      </c>
      <c r="H8" s="161" t="inlineStr">
        <is>
          <t>◆</t>
        </is>
      </c>
    </row>
    <row r="9">
      <c r="A9" s="161" t="inlineStr"/>
      <c r="B9" s="161" t="inlineStr">
        <is>
          <t>ACC</t>
        </is>
      </c>
      <c r="C9" s="162" t="inlineStr">
        <is>
          <t xml:space="preserve">  ↳ 로크너트</t>
        </is>
      </c>
      <c r="D9" s="162" t="inlineStr">
        <is>
          <t>36mm</t>
        </is>
      </c>
      <c r="E9" s="161" t="inlineStr">
        <is>
          <t>EA</t>
        </is>
      </c>
      <c r="F9" s="163" t="n">
        <v>4</v>
      </c>
      <c r="G9" s="162">
        <f>커넥터×2</f>
        <v/>
      </c>
      <c r="H9" s="161" t="inlineStr">
        <is>
          <t>◆</t>
        </is>
      </c>
    </row>
    <row r="10">
      <c r="A10" s="161" t="inlineStr"/>
      <c r="B10" s="161" t="inlineStr">
        <is>
          <t>ACC</t>
        </is>
      </c>
      <c r="C10" s="162" t="inlineStr">
        <is>
          <t xml:space="preserve">  ↳ 새들</t>
        </is>
      </c>
      <c r="D10" s="162" t="inlineStr">
        <is>
          <t>36mm</t>
        </is>
      </c>
      <c r="E10" s="161" t="inlineStr">
        <is>
          <t>EA</t>
        </is>
      </c>
      <c r="F10" s="163" t="n">
        <v>26</v>
      </c>
      <c r="G10" s="162" t="inlineStr">
        <is>
          <t>38.9m÷1.5</t>
        </is>
      </c>
      <c r="H10" s="161" t="inlineStr">
        <is>
          <t>◆</t>
        </is>
      </c>
    </row>
    <row r="11" ht="14.25" customHeight="1" s="78">
      <c r="A11" s="158" t="inlineStr">
        <is>
          <t xml:space="preserve">  [분기] 옥상→LP-2M (2F)</t>
        </is>
      </c>
      <c r="B11" s="174" t="n"/>
      <c r="C11" s="174" t="n"/>
      <c r="D11" s="174" t="n"/>
      <c r="E11" s="174" t="n"/>
      <c r="F11" s="174" t="n"/>
      <c r="G11" s="174" t="n"/>
      <c r="H11" s="175" t="n"/>
    </row>
    <row r="12">
      <c r="A12" s="148" t="n">
        <v>1</v>
      </c>
      <c r="B12" s="148" t="inlineStr">
        <is>
          <t>MAT</t>
        </is>
      </c>
      <c r="C12" s="149" t="inlineStr">
        <is>
          <t>강제전선관 (ST)</t>
        </is>
      </c>
      <c r="D12" s="149" t="inlineStr">
        <is>
          <t>28mm</t>
        </is>
      </c>
      <c r="E12" s="148" t="inlineStr">
        <is>
          <t>m</t>
        </is>
      </c>
      <c r="F12" s="160" t="n">
        <v>30.7</v>
      </c>
      <c r="G12" s="149" t="inlineStr">
        <is>
          <t>길이산출 30.7m</t>
        </is>
      </c>
      <c r="H12" s="148" t="inlineStr">
        <is>
          <t>●</t>
        </is>
      </c>
    </row>
    <row r="13">
      <c r="A13" s="148" t="n">
        <v>2</v>
      </c>
      <c r="B13" s="148" t="inlineStr">
        <is>
          <t>MAT</t>
        </is>
      </c>
      <c r="C13" s="149" t="inlineStr">
        <is>
          <t>F-CV + F-GV/E</t>
        </is>
      </c>
      <c r="D13" s="149" t="inlineStr">
        <is>
          <t>25㎟ 4C + F-GV 25㎟</t>
        </is>
      </c>
      <c r="E13" s="148" t="inlineStr">
        <is>
          <t>m</t>
        </is>
      </c>
      <c r="F13" s="160" t="n">
        <v>153.5</v>
      </c>
      <c r="G13" s="149" t="inlineStr">
        <is>
          <t>배관30.7m×가닥수</t>
        </is>
      </c>
      <c r="H13" s="148" t="inlineStr">
        <is>
          <t>●</t>
        </is>
      </c>
    </row>
    <row r="14">
      <c r="A14" s="161" t="inlineStr"/>
      <c r="B14" s="161" t="inlineStr">
        <is>
          <t>ACC</t>
        </is>
      </c>
      <c r="C14" s="162" t="inlineStr">
        <is>
          <t xml:space="preserve">  ↳ 커플링</t>
        </is>
      </c>
      <c r="D14" s="162" t="inlineStr">
        <is>
          <t>28mm</t>
        </is>
      </c>
      <c r="E14" s="161" t="inlineStr">
        <is>
          <t>EA</t>
        </is>
      </c>
      <c r="F14" s="163" t="n">
        <v>9</v>
      </c>
      <c r="G14" s="162" t="inlineStr">
        <is>
          <t>30.7m÷3.6</t>
        </is>
      </c>
      <c r="H14" s="161" t="inlineStr">
        <is>
          <t>◆</t>
        </is>
      </c>
    </row>
    <row r="15">
      <c r="A15" s="161" t="inlineStr"/>
      <c r="B15" s="161" t="inlineStr">
        <is>
          <t>ACC</t>
        </is>
      </c>
      <c r="C15" s="162" t="inlineStr">
        <is>
          <t xml:space="preserve">  ↳ 커넥터</t>
        </is>
      </c>
      <c r="D15" s="162" t="inlineStr">
        <is>
          <t>28mm</t>
        </is>
      </c>
      <c r="E15" s="161" t="inlineStr">
        <is>
          <t>EA</t>
        </is>
      </c>
      <c r="F15" s="163" t="n">
        <v>2</v>
      </c>
      <c r="G15" s="162" t="inlineStr">
        <is>
          <t>양단 2개</t>
        </is>
      </c>
      <c r="H15" s="161" t="inlineStr">
        <is>
          <t>◆</t>
        </is>
      </c>
    </row>
    <row r="16">
      <c r="A16" s="161" t="inlineStr"/>
      <c r="B16" s="161" t="inlineStr">
        <is>
          <t>ACC</t>
        </is>
      </c>
      <c r="C16" s="162" t="inlineStr">
        <is>
          <t xml:space="preserve">  ↳ 부싱</t>
        </is>
      </c>
      <c r="D16" s="162" t="inlineStr">
        <is>
          <t>28mm</t>
        </is>
      </c>
      <c r="E16" s="161" t="inlineStr">
        <is>
          <t>EA</t>
        </is>
      </c>
      <c r="F16" s="163" t="n">
        <v>2</v>
      </c>
      <c r="G16" s="162">
        <f>커넥터수</f>
        <v/>
      </c>
      <c r="H16" s="161" t="inlineStr">
        <is>
          <t>◆</t>
        </is>
      </c>
    </row>
    <row r="17">
      <c r="A17" s="161" t="inlineStr"/>
      <c r="B17" s="161" t="inlineStr">
        <is>
          <t>ACC</t>
        </is>
      </c>
      <c r="C17" s="162" t="inlineStr">
        <is>
          <t xml:space="preserve">  ↳ 로크너트</t>
        </is>
      </c>
      <c r="D17" s="162" t="inlineStr">
        <is>
          <t>28mm</t>
        </is>
      </c>
      <c r="E17" s="161" t="inlineStr">
        <is>
          <t>EA</t>
        </is>
      </c>
      <c r="F17" s="163" t="n">
        <v>4</v>
      </c>
      <c r="G17" s="162">
        <f>커넥터×2</f>
        <v/>
      </c>
      <c r="H17" s="161" t="inlineStr">
        <is>
          <t>◆</t>
        </is>
      </c>
    </row>
    <row r="18">
      <c r="A18" s="161" t="inlineStr"/>
      <c r="B18" s="161" t="inlineStr">
        <is>
          <t>ACC</t>
        </is>
      </c>
      <c r="C18" s="162" t="inlineStr">
        <is>
          <t xml:space="preserve">  ↳ 새들</t>
        </is>
      </c>
      <c r="D18" s="162" t="inlineStr">
        <is>
          <t>28mm</t>
        </is>
      </c>
      <c r="E18" s="161" t="inlineStr">
        <is>
          <t>EA</t>
        </is>
      </c>
      <c r="F18" s="163" t="n">
        <v>21</v>
      </c>
      <c r="G18" s="162" t="inlineStr">
        <is>
          <t>30.7m÷1.5</t>
        </is>
      </c>
      <c r="H18" s="161" t="inlineStr">
        <is>
          <t>◆</t>
        </is>
      </c>
    </row>
    <row r="19" ht="14.25" customHeight="1" s="78">
      <c r="A19" s="158" t="inlineStr">
        <is>
          <t xml:space="preserve">  [분기] LP-1M→LP-E</t>
        </is>
      </c>
      <c r="B19" s="174" t="n"/>
      <c r="C19" s="174" t="n"/>
      <c r="D19" s="174" t="n"/>
      <c r="E19" s="174" t="n"/>
      <c r="F19" s="174" t="n"/>
      <c r="G19" s="174" t="n"/>
      <c r="H19" s="175" t="n"/>
    </row>
    <row r="20">
      <c r="A20" s="148" t="n">
        <v>1</v>
      </c>
      <c r="B20" s="148" t="inlineStr">
        <is>
          <t>MAT</t>
        </is>
      </c>
      <c r="C20" s="149" t="inlineStr">
        <is>
          <t>강제전선관 (ST)</t>
        </is>
      </c>
      <c r="D20" s="149" t="inlineStr">
        <is>
          <t>28mm</t>
        </is>
      </c>
      <c r="E20" s="148" t="inlineStr">
        <is>
          <t>m</t>
        </is>
      </c>
      <c r="F20" s="160" t="n">
        <v>2</v>
      </c>
      <c r="G20" s="149" t="inlineStr">
        <is>
          <t>길이산출 2.0m</t>
        </is>
      </c>
      <c r="H20" s="148" t="inlineStr">
        <is>
          <t>●</t>
        </is>
      </c>
    </row>
    <row r="21">
      <c r="A21" s="148" t="n">
        <v>2</v>
      </c>
      <c r="B21" s="148" t="inlineStr">
        <is>
          <t>MAT</t>
        </is>
      </c>
      <c r="C21" s="149" t="inlineStr">
        <is>
          <t>F-CV + F-GV/E</t>
        </is>
      </c>
      <c r="D21" s="149" t="inlineStr">
        <is>
          <t>10㎟ 4C + F-GV 10㎟</t>
        </is>
      </c>
      <c r="E21" s="148" t="inlineStr">
        <is>
          <t>m</t>
        </is>
      </c>
      <c r="F21" s="160" t="n">
        <v>10</v>
      </c>
      <c r="G21" s="149" t="inlineStr">
        <is>
          <t>배관2.0m×가닥수</t>
        </is>
      </c>
      <c r="H21" s="148" t="inlineStr">
        <is>
          <t>●</t>
        </is>
      </c>
    </row>
    <row r="22">
      <c r="A22" s="161" t="inlineStr"/>
      <c r="B22" s="161" t="inlineStr">
        <is>
          <t>ACC</t>
        </is>
      </c>
      <c r="C22" s="162" t="inlineStr">
        <is>
          <t xml:space="preserve">  ↳ 커플링</t>
        </is>
      </c>
      <c r="D22" s="162" t="inlineStr">
        <is>
          <t>28mm</t>
        </is>
      </c>
      <c r="E22" s="161" t="inlineStr">
        <is>
          <t>EA</t>
        </is>
      </c>
      <c r="F22" s="163" t="n">
        <v>1</v>
      </c>
      <c r="G22" s="162" t="inlineStr">
        <is>
          <t>2.0m÷3.6</t>
        </is>
      </c>
      <c r="H22" s="161" t="inlineStr">
        <is>
          <t>◆</t>
        </is>
      </c>
    </row>
    <row r="23">
      <c r="A23" s="161" t="inlineStr"/>
      <c r="B23" s="161" t="inlineStr">
        <is>
          <t>ACC</t>
        </is>
      </c>
      <c r="C23" s="162" t="inlineStr">
        <is>
          <t xml:space="preserve">  ↳ 커넥터</t>
        </is>
      </c>
      <c r="D23" s="162" t="inlineStr">
        <is>
          <t>28mm</t>
        </is>
      </c>
      <c r="E23" s="161" t="inlineStr">
        <is>
          <t>EA</t>
        </is>
      </c>
      <c r="F23" s="163" t="n">
        <v>2</v>
      </c>
      <c r="G23" s="162" t="inlineStr">
        <is>
          <t>양단 2개</t>
        </is>
      </c>
      <c r="H23" s="161" t="inlineStr">
        <is>
          <t>◆</t>
        </is>
      </c>
    </row>
    <row r="24">
      <c r="A24" s="161" t="inlineStr"/>
      <c r="B24" s="161" t="inlineStr">
        <is>
          <t>ACC</t>
        </is>
      </c>
      <c r="C24" s="162" t="inlineStr">
        <is>
          <t xml:space="preserve">  ↳ 부싱</t>
        </is>
      </c>
      <c r="D24" s="162" t="inlineStr">
        <is>
          <t>28mm</t>
        </is>
      </c>
      <c r="E24" s="161" t="inlineStr">
        <is>
          <t>EA</t>
        </is>
      </c>
      <c r="F24" s="163" t="n">
        <v>2</v>
      </c>
      <c r="G24" s="162">
        <f>커넥터수</f>
        <v/>
      </c>
      <c r="H24" s="161" t="inlineStr">
        <is>
          <t>◆</t>
        </is>
      </c>
    </row>
    <row r="25">
      <c r="A25" s="161" t="inlineStr"/>
      <c r="B25" s="161" t="inlineStr">
        <is>
          <t>ACC</t>
        </is>
      </c>
      <c r="C25" s="162" t="inlineStr">
        <is>
          <t xml:space="preserve">  ↳ 로크너트</t>
        </is>
      </c>
      <c r="D25" s="162" t="inlineStr">
        <is>
          <t>28mm</t>
        </is>
      </c>
      <c r="E25" s="161" t="inlineStr">
        <is>
          <t>EA</t>
        </is>
      </c>
      <c r="F25" s="163" t="n">
        <v>4</v>
      </c>
      <c r="G25" s="162">
        <f>커넥터×2</f>
        <v/>
      </c>
      <c r="H25" s="161" t="inlineStr">
        <is>
          <t>◆</t>
        </is>
      </c>
    </row>
    <row r="26">
      <c r="A26" s="161" t="inlineStr"/>
      <c r="B26" s="161" t="inlineStr">
        <is>
          <t>ACC</t>
        </is>
      </c>
      <c r="C26" s="162" t="inlineStr">
        <is>
          <t xml:space="preserve">  ↳ 새들</t>
        </is>
      </c>
      <c r="D26" s="162" t="inlineStr">
        <is>
          <t>28mm</t>
        </is>
      </c>
      <c r="E26" s="161" t="inlineStr">
        <is>
          <t>EA</t>
        </is>
      </c>
      <c r="F26" s="163" t="n">
        <v>2</v>
      </c>
      <c r="G26" s="162" t="inlineStr">
        <is>
          <t>2.0m÷1.5</t>
        </is>
      </c>
      <c r="H26" s="161" t="inlineStr">
        <is>
          <t>◆</t>
        </is>
      </c>
    </row>
    <row r="27" ht="14.25" customHeight="1" s="78">
      <c r="A27" s="158" t="inlineStr">
        <is>
          <t xml:space="preserve">  [분기] LP-2M→온수기반(B1F)</t>
        </is>
      </c>
      <c r="B27" s="174" t="n"/>
      <c r="C27" s="174" t="n"/>
      <c r="D27" s="174" t="n"/>
      <c r="E27" s="174" t="n"/>
      <c r="F27" s="174" t="n"/>
      <c r="G27" s="174" t="n"/>
      <c r="H27" s="175" t="n"/>
    </row>
    <row r="28">
      <c r="A28" s="148" t="n">
        <v>1</v>
      </c>
      <c r="B28" s="148" t="inlineStr">
        <is>
          <t>MAT</t>
        </is>
      </c>
      <c r="C28" s="149" t="inlineStr">
        <is>
          <t>강제전선관 (ST)</t>
        </is>
      </c>
      <c r="D28" s="149" t="inlineStr">
        <is>
          <t>36mm</t>
        </is>
      </c>
      <c r="E28" s="148" t="inlineStr">
        <is>
          <t>m</t>
        </is>
      </c>
      <c r="F28" s="160" t="n">
        <v>24.8</v>
      </c>
      <c r="G28" s="149" t="inlineStr">
        <is>
          <t>길이산출 24.8m</t>
        </is>
      </c>
      <c r="H28" s="148" t="inlineStr">
        <is>
          <t>●</t>
        </is>
      </c>
    </row>
    <row r="29">
      <c r="A29" s="148" t="n">
        <v>2</v>
      </c>
      <c r="B29" s="148" t="inlineStr">
        <is>
          <t>MAT</t>
        </is>
      </c>
      <c r="C29" s="149" t="inlineStr">
        <is>
          <t>F-CV + F-GV/E</t>
        </is>
      </c>
      <c r="D29" s="149" t="inlineStr">
        <is>
          <t>6㎟ 4C + E 6㎟</t>
        </is>
      </c>
      <c r="E29" s="148" t="inlineStr">
        <is>
          <t>m</t>
        </is>
      </c>
      <c r="F29" s="160" t="n">
        <v>124</v>
      </c>
      <c r="G29" s="149" t="inlineStr">
        <is>
          <t>배관24.8m×가닥수</t>
        </is>
      </c>
      <c r="H29" s="148" t="inlineStr">
        <is>
          <t>●</t>
        </is>
      </c>
    </row>
    <row r="30">
      <c r="A30" s="161" t="inlineStr"/>
      <c r="B30" s="161" t="inlineStr">
        <is>
          <t>ACC</t>
        </is>
      </c>
      <c r="C30" s="162" t="inlineStr">
        <is>
          <t xml:space="preserve">  ↳ 커플링</t>
        </is>
      </c>
      <c r="D30" s="162" t="inlineStr">
        <is>
          <t>36mm</t>
        </is>
      </c>
      <c r="E30" s="161" t="inlineStr">
        <is>
          <t>EA</t>
        </is>
      </c>
      <c r="F30" s="163" t="n">
        <v>7</v>
      </c>
      <c r="G30" s="162" t="inlineStr">
        <is>
          <t>24.8m÷3.6</t>
        </is>
      </c>
      <c r="H30" s="161" t="inlineStr">
        <is>
          <t>◆</t>
        </is>
      </c>
    </row>
    <row r="31">
      <c r="A31" s="161" t="inlineStr"/>
      <c r="B31" s="161" t="inlineStr">
        <is>
          <t>ACC</t>
        </is>
      </c>
      <c r="C31" s="162" t="inlineStr">
        <is>
          <t xml:space="preserve">  ↳ 커넥터</t>
        </is>
      </c>
      <c r="D31" s="162" t="inlineStr">
        <is>
          <t>36mm</t>
        </is>
      </c>
      <c r="E31" s="161" t="inlineStr">
        <is>
          <t>EA</t>
        </is>
      </c>
      <c r="F31" s="163" t="n">
        <v>2</v>
      </c>
      <c r="G31" s="162" t="inlineStr">
        <is>
          <t>양단 2개</t>
        </is>
      </c>
      <c r="H31" s="161" t="inlineStr">
        <is>
          <t>◆</t>
        </is>
      </c>
    </row>
    <row r="32">
      <c r="A32" s="161" t="inlineStr"/>
      <c r="B32" s="161" t="inlineStr">
        <is>
          <t>ACC</t>
        </is>
      </c>
      <c r="C32" s="162" t="inlineStr">
        <is>
          <t xml:space="preserve">  ↳ 부싱</t>
        </is>
      </c>
      <c r="D32" s="162" t="inlineStr">
        <is>
          <t>36mm</t>
        </is>
      </c>
      <c r="E32" s="161" t="inlineStr">
        <is>
          <t>EA</t>
        </is>
      </c>
      <c r="F32" s="163" t="n">
        <v>2</v>
      </c>
      <c r="G32" s="162">
        <f>커넥터수</f>
        <v/>
      </c>
      <c r="H32" s="161" t="inlineStr">
        <is>
          <t>◆</t>
        </is>
      </c>
    </row>
    <row r="33">
      <c r="A33" s="161" t="inlineStr"/>
      <c r="B33" s="161" t="inlineStr">
        <is>
          <t>ACC</t>
        </is>
      </c>
      <c r="C33" s="162" t="inlineStr">
        <is>
          <t xml:space="preserve">  ↳ 로크너트</t>
        </is>
      </c>
      <c r="D33" s="162" t="inlineStr">
        <is>
          <t>36mm</t>
        </is>
      </c>
      <c r="E33" s="161" t="inlineStr">
        <is>
          <t>EA</t>
        </is>
      </c>
      <c r="F33" s="163" t="n">
        <v>4</v>
      </c>
      <c r="G33" s="162">
        <f>커넥터×2</f>
        <v/>
      </c>
      <c r="H33" s="161" t="inlineStr">
        <is>
          <t>◆</t>
        </is>
      </c>
    </row>
    <row r="34">
      <c r="A34" s="161" t="inlineStr"/>
      <c r="B34" s="161" t="inlineStr">
        <is>
          <t>ACC</t>
        </is>
      </c>
      <c r="C34" s="162" t="inlineStr">
        <is>
          <t xml:space="preserve">  ↳ 새들</t>
        </is>
      </c>
      <c r="D34" s="162" t="inlineStr">
        <is>
          <t>36mm</t>
        </is>
      </c>
      <c r="E34" s="161" t="inlineStr">
        <is>
          <t>EA</t>
        </is>
      </c>
      <c r="F34" s="163" t="n">
        <v>17</v>
      </c>
      <c r="G34" s="162" t="inlineStr">
        <is>
          <t>24.8m÷1.5</t>
        </is>
      </c>
      <c r="H34" s="161" t="inlineStr">
        <is>
          <t>◆</t>
        </is>
      </c>
    </row>
    <row r="35">
      <c r="A35" s="161" t="inlineStr"/>
      <c r="B35" s="161" t="inlineStr">
        <is>
          <t>SUP</t>
        </is>
      </c>
      <c r="C35" s="162" t="inlineStr">
        <is>
          <t>전산볼트 M10 × 1m</t>
        </is>
      </c>
      <c r="D35" s="162" t="inlineStr">
        <is>
          <t>M10</t>
        </is>
      </c>
      <c r="E35" s="161" t="inlineStr">
        <is>
          <t>EA</t>
        </is>
      </c>
      <c r="F35" s="163" t="n">
        <v>65</v>
      </c>
      <c r="G35" s="162" t="inlineStr">
        <is>
          <t>총배관96.4m÷1.5</t>
        </is>
      </c>
      <c r="H35" s="161" t="inlineStr">
        <is>
          <t>◆</t>
        </is>
      </c>
    </row>
    <row r="36">
      <c r="A36" s="161" t="inlineStr"/>
      <c r="B36" s="161" t="inlineStr">
        <is>
          <t>SUP</t>
        </is>
      </c>
      <c r="C36" s="162" t="inlineStr">
        <is>
          <t>유크램프</t>
        </is>
      </c>
      <c r="D36" s="162" t="inlineStr">
        <is>
          <t>공용</t>
        </is>
      </c>
      <c r="E36" s="161" t="inlineStr">
        <is>
          <t>EA</t>
        </is>
      </c>
      <c r="F36" s="163" t="n">
        <v>65</v>
      </c>
      <c r="G36" s="162" t="inlineStr">
        <is>
          <t>총배관96.4m÷1.5</t>
        </is>
      </c>
      <c r="H36" s="161" t="inlineStr">
        <is>
          <t>◆</t>
        </is>
      </c>
    </row>
    <row r="37">
      <c r="A37" s="161" t="inlineStr"/>
      <c r="B37" s="161" t="inlineStr">
        <is>
          <t>CMN</t>
        </is>
      </c>
      <c r="C37" s="162" t="inlineStr">
        <is>
          <t>아울렛 박스 (4각)</t>
        </is>
      </c>
      <c r="D37" s="162" t="inlineStr">
        <is>
          <t>4각</t>
        </is>
      </c>
      <c r="E37" s="161" t="inlineStr">
        <is>
          <t>EA</t>
        </is>
      </c>
      <c r="F37" s="163" t="n">
        <v>8</v>
      </c>
      <c r="G37" s="162" t="inlineStr">
        <is>
          <t>접속점8개</t>
        </is>
      </c>
      <c r="H37" s="161" t="inlineStr">
        <is>
          <t>▲</t>
        </is>
      </c>
    </row>
    <row r="38">
      <c r="A38" s="161" t="inlineStr"/>
      <c r="B38" s="161" t="inlineStr">
        <is>
          <t>CMN</t>
        </is>
      </c>
      <c r="C38" s="162" t="inlineStr">
        <is>
          <t>풀박스</t>
        </is>
      </c>
      <c r="D38" s="162" t="inlineStr">
        <is>
          <t>200×200</t>
        </is>
      </c>
      <c r="E38" s="161" t="inlineStr">
        <is>
          <t>EA</t>
        </is>
      </c>
      <c r="F38" s="163" t="n">
        <v>3</v>
      </c>
      <c r="G38" s="162" t="inlineStr">
        <is>
          <t>96.4m÷30</t>
        </is>
      </c>
      <c r="H38" s="161" t="inlineStr">
        <is>
          <t>▲</t>
        </is>
      </c>
    </row>
    <row r="39">
      <c r="A39" s="161" t="inlineStr"/>
      <c r="B39" s="161" t="inlineStr">
        <is>
          <t>CMN</t>
        </is>
      </c>
      <c r="C39" s="162" t="inlineStr">
        <is>
          <t>와이어 커넥터</t>
        </is>
      </c>
      <c r="D39" s="162" t="inlineStr">
        <is>
          <t>중</t>
        </is>
      </c>
      <c r="E39" s="161" t="inlineStr">
        <is>
          <t>셋</t>
        </is>
      </c>
      <c r="F39" s="163" t="n">
        <v>24</v>
      </c>
      <c r="G39" s="162" t="inlineStr">
        <is>
          <t>접속점8×3</t>
        </is>
      </c>
      <c r="H39" s="161" t="inlineStr">
        <is>
          <t>▲</t>
        </is>
      </c>
    </row>
    <row r="40">
      <c r="A40" s="161" t="inlineStr"/>
      <c r="B40" s="161" t="inlineStr">
        <is>
          <t>CMN</t>
        </is>
      </c>
      <c r="C40" s="162" t="inlineStr">
        <is>
          <t>PVC 테이프</t>
        </is>
      </c>
      <c r="D40" s="162" t="inlineStr">
        <is>
          <t>19mm</t>
        </is>
      </c>
      <c r="E40" s="161" t="inlineStr">
        <is>
          <t>롤</t>
        </is>
      </c>
      <c r="F40" s="163" t="n">
        <v>1</v>
      </c>
      <c r="G40" s="162" t="inlineStr">
        <is>
          <t>접속점8÷10</t>
        </is>
      </c>
      <c r="H40" s="161" t="inlineStr">
        <is>
          <t>▲</t>
        </is>
      </c>
    </row>
    <row r="41" ht="14.25" customHeight="1" s="78">
      <c r="A41" s="165" t="inlineStr">
        <is>
          <t>( 전력간선공사 소계 )</t>
        </is>
      </c>
      <c r="B41" s="174" t="n"/>
      <c r="C41" s="174" t="n"/>
      <c r="D41" s="174" t="n"/>
      <c r="E41" s="174" t="n"/>
      <c r="F41" s="174" t="n"/>
      <c r="G41" s="174" t="n"/>
      <c r="H41" s="175" t="n"/>
    </row>
    <row r="42">
      <c r="A42" s="167" t="inlineStr"/>
      <c r="B42" s="167" t="inlineStr">
        <is>
          <t>MAT</t>
        </is>
      </c>
      <c r="C42" s="168" t="inlineStr">
        <is>
          <t>F-CV + F-GV/E</t>
        </is>
      </c>
      <c r="D42" s="168" t="inlineStr">
        <is>
          <t>10㎟ 4C + F-GV 10㎟</t>
        </is>
      </c>
      <c r="E42" s="167" t="inlineStr">
        <is>
          <t>m</t>
        </is>
      </c>
      <c r="F42" s="169" t="n">
        <v>10</v>
      </c>
      <c r="G42" s="168" t="inlineStr">
        <is>
          <t>분기(10.0)</t>
        </is>
      </c>
      <c r="H42" s="167" t="inlineStr"/>
    </row>
    <row r="43">
      <c r="A43" s="167" t="inlineStr"/>
      <c r="B43" s="167" t="inlineStr">
        <is>
          <t>MAT</t>
        </is>
      </c>
      <c r="C43" s="168" t="inlineStr">
        <is>
          <t>F-CV + F-GV/E</t>
        </is>
      </c>
      <c r="D43" s="168" t="inlineStr">
        <is>
          <t>25㎟ 4C + F-GV 25㎟</t>
        </is>
      </c>
      <c r="E43" s="167" t="inlineStr">
        <is>
          <t>m</t>
        </is>
      </c>
      <c r="F43" s="169" t="n">
        <v>153.5</v>
      </c>
      <c r="G43" s="168" t="inlineStr">
        <is>
          <t>분기(153.5)</t>
        </is>
      </c>
      <c r="H43" s="167" t="inlineStr"/>
    </row>
    <row r="44">
      <c r="A44" s="167" t="inlineStr"/>
      <c r="B44" s="167" t="inlineStr">
        <is>
          <t>MAT</t>
        </is>
      </c>
      <c r="C44" s="168" t="inlineStr">
        <is>
          <t>F-CV + F-GV/E</t>
        </is>
      </c>
      <c r="D44" s="168" t="inlineStr">
        <is>
          <t>6㎟ 4C + E 6㎟</t>
        </is>
      </c>
      <c r="E44" s="167" t="inlineStr">
        <is>
          <t>m</t>
        </is>
      </c>
      <c r="F44" s="169" t="n">
        <v>124</v>
      </c>
      <c r="G44" s="168" t="inlineStr">
        <is>
          <t>분기(124.0)</t>
        </is>
      </c>
      <c r="H44" s="167" t="inlineStr"/>
    </row>
    <row r="45">
      <c r="A45" s="167" t="inlineStr"/>
      <c r="B45" s="167" t="inlineStr">
        <is>
          <t>MAT</t>
        </is>
      </c>
      <c r="C45" s="168" t="inlineStr">
        <is>
          <t>F-CV + F-GV/E</t>
        </is>
      </c>
      <c r="D45" s="168" t="inlineStr">
        <is>
          <t>95㎟ 4C + F-GV 95㎟</t>
        </is>
      </c>
      <c r="E45" s="167" t="inlineStr">
        <is>
          <t>m</t>
        </is>
      </c>
      <c r="F45" s="169" t="n">
        <v>194.5</v>
      </c>
      <c r="G45" s="168" t="inlineStr">
        <is>
          <t>메인(194.5)</t>
        </is>
      </c>
      <c r="H45" s="167" t="inlineStr"/>
    </row>
    <row r="46">
      <c r="A46" s="167" t="inlineStr"/>
      <c r="B46" s="167" t="inlineStr">
        <is>
          <t>MAT</t>
        </is>
      </c>
      <c r="C46" s="168" t="inlineStr">
        <is>
          <t>강제전선관 (ST)</t>
        </is>
      </c>
      <c r="D46" s="168" t="inlineStr">
        <is>
          <t>28mm</t>
        </is>
      </c>
      <c r="E46" s="167" t="inlineStr">
        <is>
          <t>m</t>
        </is>
      </c>
      <c r="F46" s="169" t="n">
        <v>32.7</v>
      </c>
      <c r="G46" s="168" t="inlineStr">
        <is>
          <t>분기(30.7)+분기(2.0)</t>
        </is>
      </c>
      <c r="H46" s="167" t="inlineStr"/>
    </row>
    <row r="47">
      <c r="A47" s="167" t="inlineStr"/>
      <c r="B47" s="167" t="inlineStr">
        <is>
          <t>MAT</t>
        </is>
      </c>
      <c r="C47" s="168" t="inlineStr">
        <is>
          <t>강제전선관 (ST)</t>
        </is>
      </c>
      <c r="D47" s="168" t="inlineStr">
        <is>
          <t>36mm</t>
        </is>
      </c>
      <c r="E47" s="167" t="inlineStr">
        <is>
          <t>m</t>
        </is>
      </c>
      <c r="F47" s="169" t="n">
        <v>63.7</v>
      </c>
      <c r="G47" s="168" t="inlineStr">
        <is>
          <t>메인(38.9)+분기(24.8)</t>
        </is>
      </c>
      <c r="H47" s="167" t="inlineStr"/>
    </row>
    <row r="48">
      <c r="A48" s="167" t="inlineStr"/>
      <c r="B48" s="167" t="inlineStr">
        <is>
          <t>ACC</t>
        </is>
      </c>
      <c r="C48" s="168" t="inlineStr">
        <is>
          <t>로크너트</t>
        </is>
      </c>
      <c r="D48" s="168" t="inlineStr">
        <is>
          <t>28mm</t>
        </is>
      </c>
      <c r="E48" s="167" t="inlineStr">
        <is>
          <t>EA</t>
        </is>
      </c>
      <c r="F48" s="170" t="n">
        <v>8</v>
      </c>
      <c r="G48" s="168" t="inlineStr">
        <is>
          <t>분기(4)</t>
        </is>
      </c>
      <c r="H48" s="167" t="inlineStr"/>
    </row>
    <row r="49">
      <c r="A49" s="167" t="inlineStr"/>
      <c r="B49" s="167" t="inlineStr">
        <is>
          <t>ACC</t>
        </is>
      </c>
      <c r="C49" s="168" t="inlineStr">
        <is>
          <t>로크너트</t>
        </is>
      </c>
      <c r="D49" s="168" t="inlineStr">
        <is>
          <t>36mm</t>
        </is>
      </c>
      <c r="E49" s="167" t="inlineStr">
        <is>
          <t>EA</t>
        </is>
      </c>
      <c r="F49" s="170" t="n">
        <v>8</v>
      </c>
      <c r="G49" s="168" t="inlineStr">
        <is>
          <t>메인(4)+분기(4)</t>
        </is>
      </c>
      <c r="H49" s="167" t="inlineStr"/>
    </row>
    <row r="50">
      <c r="A50" s="167" t="inlineStr"/>
      <c r="B50" s="167" t="inlineStr">
        <is>
          <t>ACC</t>
        </is>
      </c>
      <c r="C50" s="168" t="inlineStr">
        <is>
          <t>부싱</t>
        </is>
      </c>
      <c r="D50" s="168" t="inlineStr">
        <is>
          <t>28mm</t>
        </is>
      </c>
      <c r="E50" s="167" t="inlineStr">
        <is>
          <t>EA</t>
        </is>
      </c>
      <c r="F50" s="170" t="n">
        <v>4</v>
      </c>
      <c r="G50" s="168" t="inlineStr">
        <is>
          <t>분기(2)</t>
        </is>
      </c>
      <c r="H50" s="167" t="inlineStr"/>
    </row>
    <row r="51">
      <c r="A51" s="167" t="inlineStr"/>
      <c r="B51" s="167" t="inlineStr">
        <is>
          <t>ACC</t>
        </is>
      </c>
      <c r="C51" s="168" t="inlineStr">
        <is>
          <t>부싱</t>
        </is>
      </c>
      <c r="D51" s="168" t="inlineStr">
        <is>
          <t>36mm</t>
        </is>
      </c>
      <c r="E51" s="167" t="inlineStr">
        <is>
          <t>EA</t>
        </is>
      </c>
      <c r="F51" s="170" t="n">
        <v>4</v>
      </c>
      <c r="G51" s="168" t="inlineStr">
        <is>
          <t>메인(2)+분기(2)</t>
        </is>
      </c>
      <c r="H51" s="167" t="inlineStr"/>
    </row>
    <row r="52">
      <c r="A52" s="167" t="inlineStr"/>
      <c r="B52" s="167" t="inlineStr">
        <is>
          <t>ACC</t>
        </is>
      </c>
      <c r="C52" s="168" t="inlineStr">
        <is>
          <t>새들</t>
        </is>
      </c>
      <c r="D52" s="168" t="inlineStr">
        <is>
          <t>28mm</t>
        </is>
      </c>
      <c r="E52" s="167" t="inlineStr">
        <is>
          <t>EA</t>
        </is>
      </c>
      <c r="F52" s="170" t="n">
        <v>23</v>
      </c>
      <c r="G52" s="168" t="inlineStr">
        <is>
          <t>분기(21)+분기(2)</t>
        </is>
      </c>
      <c r="H52" s="167" t="inlineStr"/>
    </row>
    <row r="53">
      <c r="A53" s="167" t="inlineStr"/>
      <c r="B53" s="167" t="inlineStr">
        <is>
          <t>ACC</t>
        </is>
      </c>
      <c r="C53" s="168" t="inlineStr">
        <is>
          <t>새들</t>
        </is>
      </c>
      <c r="D53" s="168" t="inlineStr">
        <is>
          <t>36mm</t>
        </is>
      </c>
      <c r="E53" s="167" t="inlineStr">
        <is>
          <t>EA</t>
        </is>
      </c>
      <c r="F53" s="170" t="n">
        <v>43</v>
      </c>
      <c r="G53" s="168" t="inlineStr">
        <is>
          <t>메인(26)+분기(17)</t>
        </is>
      </c>
      <c r="H53" s="167" t="inlineStr"/>
    </row>
    <row r="54">
      <c r="A54" s="167" t="inlineStr"/>
      <c r="B54" s="167" t="inlineStr">
        <is>
          <t>ACC</t>
        </is>
      </c>
      <c r="C54" s="168" t="inlineStr">
        <is>
          <t>커넥터</t>
        </is>
      </c>
      <c r="D54" s="168" t="inlineStr">
        <is>
          <t>28mm</t>
        </is>
      </c>
      <c r="E54" s="167" t="inlineStr">
        <is>
          <t>EA</t>
        </is>
      </c>
      <c r="F54" s="170" t="n">
        <v>4</v>
      </c>
      <c r="G54" s="168" t="inlineStr">
        <is>
          <t>분기(2)</t>
        </is>
      </c>
      <c r="H54" s="167" t="inlineStr"/>
    </row>
    <row r="55">
      <c r="A55" s="167" t="inlineStr"/>
      <c r="B55" s="167" t="inlineStr">
        <is>
          <t>ACC</t>
        </is>
      </c>
      <c r="C55" s="168" t="inlineStr">
        <is>
          <t>커넥터</t>
        </is>
      </c>
      <c r="D55" s="168" t="inlineStr">
        <is>
          <t>36mm</t>
        </is>
      </c>
      <c r="E55" s="167" t="inlineStr">
        <is>
          <t>EA</t>
        </is>
      </c>
      <c r="F55" s="170" t="n">
        <v>4</v>
      </c>
      <c r="G55" s="168" t="inlineStr">
        <is>
          <t>메인(2)+분기(2)</t>
        </is>
      </c>
      <c r="H55" s="167" t="inlineStr"/>
    </row>
    <row r="56">
      <c r="A56" s="167" t="inlineStr"/>
      <c r="B56" s="167" t="inlineStr">
        <is>
          <t>ACC</t>
        </is>
      </c>
      <c r="C56" s="168" t="inlineStr">
        <is>
          <t>커플링</t>
        </is>
      </c>
      <c r="D56" s="168" t="inlineStr">
        <is>
          <t>28mm</t>
        </is>
      </c>
      <c r="E56" s="167" t="inlineStr">
        <is>
          <t>EA</t>
        </is>
      </c>
      <c r="F56" s="170" t="n">
        <v>10</v>
      </c>
      <c r="G56" s="168" t="inlineStr">
        <is>
          <t>분기(9)+분기(1)</t>
        </is>
      </c>
      <c r="H56" s="167" t="inlineStr"/>
    </row>
    <row r="57">
      <c r="A57" s="167" t="inlineStr"/>
      <c r="B57" s="167" t="inlineStr">
        <is>
          <t>ACC</t>
        </is>
      </c>
      <c r="C57" s="168" t="inlineStr">
        <is>
          <t>커플링</t>
        </is>
      </c>
      <c r="D57" s="168" t="inlineStr">
        <is>
          <t>36mm</t>
        </is>
      </c>
      <c r="E57" s="167" t="inlineStr">
        <is>
          <t>EA</t>
        </is>
      </c>
      <c r="F57" s="170" t="n">
        <v>18</v>
      </c>
      <c r="G57" s="168" t="inlineStr">
        <is>
          <t>메인(11)+분기(7)</t>
        </is>
      </c>
      <c r="H57" s="167" t="inlineStr"/>
    </row>
    <row r="58">
      <c r="A58" s="167" t="inlineStr"/>
      <c r="B58" s="167" t="inlineStr">
        <is>
          <t>SUP</t>
        </is>
      </c>
      <c r="C58" s="168" t="inlineStr">
        <is>
          <t>유크램프</t>
        </is>
      </c>
      <c r="D58" s="168" t="inlineStr">
        <is>
          <t>공용</t>
        </is>
      </c>
      <c r="E58" s="167" t="inlineStr">
        <is>
          <t>EA</t>
        </is>
      </c>
      <c r="F58" s="170" t="n">
        <v>65</v>
      </c>
      <c r="G58" s="168" t="inlineStr">
        <is>
          <t>공정전체(65)</t>
        </is>
      </c>
      <c r="H58" s="167" t="inlineStr"/>
    </row>
    <row r="59">
      <c r="A59" s="167" t="inlineStr"/>
      <c r="B59" s="167" t="inlineStr">
        <is>
          <t>SUP</t>
        </is>
      </c>
      <c r="C59" s="168" t="inlineStr">
        <is>
          <t>전산볼트 M10 × 1m</t>
        </is>
      </c>
      <c r="D59" s="168" t="inlineStr">
        <is>
          <t>M10</t>
        </is>
      </c>
      <c r="E59" s="167" t="inlineStr">
        <is>
          <t>EA</t>
        </is>
      </c>
      <c r="F59" s="170" t="n">
        <v>65</v>
      </c>
      <c r="G59" s="168" t="inlineStr">
        <is>
          <t>공정전체(65)</t>
        </is>
      </c>
      <c r="H59" s="167" t="inlineStr"/>
    </row>
    <row r="60">
      <c r="A60" s="167" t="inlineStr"/>
      <c r="B60" s="167" t="inlineStr">
        <is>
          <t>CMN</t>
        </is>
      </c>
      <c r="C60" s="168" t="inlineStr">
        <is>
          <t>PVC 테이프</t>
        </is>
      </c>
      <c r="D60" s="168" t="inlineStr">
        <is>
          <t>19mm</t>
        </is>
      </c>
      <c r="E60" s="167" t="inlineStr">
        <is>
          <t>롤</t>
        </is>
      </c>
      <c r="F60" s="170" t="n">
        <v>1</v>
      </c>
      <c r="G60" s="168" t="inlineStr">
        <is>
          <t>공정전체(1)</t>
        </is>
      </c>
      <c r="H60" s="167" t="inlineStr"/>
    </row>
    <row r="61">
      <c r="A61" s="167" t="inlineStr"/>
      <c r="B61" s="167" t="inlineStr">
        <is>
          <t>CMN</t>
        </is>
      </c>
      <c r="C61" s="168" t="inlineStr">
        <is>
          <t>아울렛 박스 (4각)</t>
        </is>
      </c>
      <c r="D61" s="168" t="inlineStr">
        <is>
          <t>4각</t>
        </is>
      </c>
      <c r="E61" s="167" t="inlineStr">
        <is>
          <t>EA</t>
        </is>
      </c>
      <c r="F61" s="170" t="n">
        <v>8</v>
      </c>
      <c r="G61" s="168" t="inlineStr">
        <is>
          <t>공정전체(8)</t>
        </is>
      </c>
      <c r="H61" s="167" t="inlineStr"/>
    </row>
    <row r="62">
      <c r="A62" s="167" t="inlineStr"/>
      <c r="B62" s="167" t="inlineStr">
        <is>
          <t>CMN</t>
        </is>
      </c>
      <c r="C62" s="168" t="inlineStr">
        <is>
          <t>와이어 커넥터</t>
        </is>
      </c>
      <c r="D62" s="168" t="inlineStr">
        <is>
          <t>중</t>
        </is>
      </c>
      <c r="E62" s="167" t="inlineStr">
        <is>
          <t>셋</t>
        </is>
      </c>
      <c r="F62" s="170" t="n">
        <v>24</v>
      </c>
      <c r="G62" s="168" t="inlineStr">
        <is>
          <t>공정전체(24)</t>
        </is>
      </c>
      <c r="H62" s="167" t="inlineStr"/>
    </row>
    <row r="63">
      <c r="A63" s="167" t="inlineStr"/>
      <c r="B63" s="167" t="inlineStr">
        <is>
          <t>CMN</t>
        </is>
      </c>
      <c r="C63" s="168" t="inlineStr">
        <is>
          <t>풀박스</t>
        </is>
      </c>
      <c r="D63" s="168" t="inlineStr">
        <is>
          <t>200×200</t>
        </is>
      </c>
      <c r="E63" s="167" t="inlineStr">
        <is>
          <t>EA</t>
        </is>
      </c>
      <c r="F63" s="170" t="n">
        <v>3</v>
      </c>
      <c r="G63" s="168" t="inlineStr">
        <is>
          <t>공정전체(3)</t>
        </is>
      </c>
      <c r="H63" s="167" t="inlineStr"/>
    </row>
    <row r="65" ht="14.25" customHeight="1" s="78">
      <c r="A65" s="156" t="inlineStr">
        <is>
          <t>2. 1F 동력·환기공사</t>
        </is>
      </c>
      <c r="B65" s="174" t="n"/>
      <c r="C65" s="174" t="n"/>
      <c r="D65" s="174" t="n"/>
      <c r="E65" s="174" t="n"/>
      <c r="F65" s="174" t="n"/>
      <c r="G65" s="174" t="n"/>
      <c r="H65" s="175" t="n"/>
    </row>
    <row r="66" ht="14.25" customHeight="1" s="78">
      <c r="A66" s="158" t="inlineStr">
        <is>
          <t xml:space="preserve">  [2] OAC-1 (실외기1)</t>
        </is>
      </c>
      <c r="B66" s="174" t="n"/>
      <c r="C66" s="174" t="n"/>
      <c r="D66" s="174" t="n"/>
      <c r="E66" s="174" t="n"/>
      <c r="F66" s="174" t="n"/>
      <c r="G66" s="174" t="n"/>
      <c r="H66" s="175" t="n"/>
    </row>
    <row r="67">
      <c r="A67" s="148" t="n">
        <v>1</v>
      </c>
      <c r="B67" s="148" t="inlineStr">
        <is>
          <t>MAT</t>
        </is>
      </c>
      <c r="C67" s="149" t="inlineStr">
        <is>
          <t>강제전선관 (ST)</t>
        </is>
      </c>
      <c r="D67" s="149" t="inlineStr">
        <is>
          <t>22mm</t>
        </is>
      </c>
      <c r="E67" s="148" t="inlineStr">
        <is>
          <t>m</t>
        </is>
      </c>
      <c r="F67" s="160" t="n">
        <v>49.4</v>
      </c>
      <c r="G67" s="149" t="inlineStr">
        <is>
          <t>길이산출 49.4m</t>
        </is>
      </c>
      <c r="H67" s="148" t="inlineStr">
        <is>
          <t>◆</t>
        </is>
      </c>
    </row>
    <row r="68">
      <c r="A68" s="148" t="n">
        <v>2</v>
      </c>
      <c r="B68" s="148" t="inlineStr">
        <is>
          <t>MAT</t>
        </is>
      </c>
      <c r="C68" s="149" t="inlineStr">
        <is>
          <t>HFIX 내열비닐</t>
        </is>
      </c>
      <c r="D68" s="149" t="inlineStr">
        <is>
          <t>6㎟ 4C</t>
        </is>
      </c>
      <c r="E68" s="148" t="inlineStr">
        <is>
          <t>m</t>
        </is>
      </c>
      <c r="F68" s="160" t="n">
        <v>197.6</v>
      </c>
      <c r="G68" s="149" t="inlineStr">
        <is>
          <t>배관49.4m×가닥수</t>
        </is>
      </c>
      <c r="H68" s="148" t="inlineStr">
        <is>
          <t>◆</t>
        </is>
      </c>
    </row>
    <row r="69">
      <c r="A69" s="161" t="inlineStr"/>
      <c r="B69" s="161" t="inlineStr">
        <is>
          <t>ACC</t>
        </is>
      </c>
      <c r="C69" s="162" t="inlineStr">
        <is>
          <t xml:space="preserve">  ↳ 커플링</t>
        </is>
      </c>
      <c r="D69" s="162" t="inlineStr">
        <is>
          <t>22mm</t>
        </is>
      </c>
      <c r="E69" s="161" t="inlineStr">
        <is>
          <t>EA</t>
        </is>
      </c>
      <c r="F69" s="163" t="n">
        <v>14</v>
      </c>
      <c r="G69" s="162" t="inlineStr">
        <is>
          <t>49.4m÷3.6</t>
        </is>
      </c>
      <c r="H69" s="161" t="inlineStr">
        <is>
          <t>◆</t>
        </is>
      </c>
    </row>
    <row r="70">
      <c r="A70" s="161" t="inlineStr"/>
      <c r="B70" s="161" t="inlineStr">
        <is>
          <t>ACC</t>
        </is>
      </c>
      <c r="C70" s="162" t="inlineStr">
        <is>
          <t xml:space="preserve">  ↳ 커넥터</t>
        </is>
      </c>
      <c r="D70" s="162" t="inlineStr">
        <is>
          <t>22mm</t>
        </is>
      </c>
      <c r="E70" s="161" t="inlineStr">
        <is>
          <t>EA</t>
        </is>
      </c>
      <c r="F70" s="163" t="n">
        <v>2</v>
      </c>
      <c r="G70" s="162" t="inlineStr">
        <is>
          <t>양단 2개</t>
        </is>
      </c>
      <c r="H70" s="161" t="inlineStr">
        <is>
          <t>◆</t>
        </is>
      </c>
    </row>
    <row r="71">
      <c r="A71" s="161" t="inlineStr"/>
      <c r="B71" s="161" t="inlineStr">
        <is>
          <t>ACC</t>
        </is>
      </c>
      <c r="C71" s="162" t="inlineStr">
        <is>
          <t xml:space="preserve">  ↳ 부싱</t>
        </is>
      </c>
      <c r="D71" s="162" t="inlineStr">
        <is>
          <t>22mm</t>
        </is>
      </c>
      <c r="E71" s="161" t="inlineStr">
        <is>
          <t>EA</t>
        </is>
      </c>
      <c r="F71" s="163" t="n">
        <v>2</v>
      </c>
      <c r="G71" s="162">
        <f>커넥터수</f>
        <v/>
      </c>
      <c r="H71" s="161" t="inlineStr">
        <is>
          <t>◆</t>
        </is>
      </c>
    </row>
    <row r="72">
      <c r="A72" s="161" t="inlineStr"/>
      <c r="B72" s="161" t="inlineStr">
        <is>
          <t>ACC</t>
        </is>
      </c>
      <c r="C72" s="162" t="inlineStr">
        <is>
          <t xml:space="preserve">  ↳ 로크너트</t>
        </is>
      </c>
      <c r="D72" s="162" t="inlineStr">
        <is>
          <t>22mm</t>
        </is>
      </c>
      <c r="E72" s="161" t="inlineStr">
        <is>
          <t>EA</t>
        </is>
      </c>
      <c r="F72" s="163" t="n">
        <v>4</v>
      </c>
      <c r="G72" s="162">
        <f>커넥터×2</f>
        <v/>
      </c>
      <c r="H72" s="161" t="inlineStr">
        <is>
          <t>◆</t>
        </is>
      </c>
    </row>
    <row r="73">
      <c r="A73" s="161" t="inlineStr"/>
      <c r="B73" s="161" t="inlineStr">
        <is>
          <t>ACC</t>
        </is>
      </c>
      <c r="C73" s="162" t="inlineStr">
        <is>
          <t xml:space="preserve">  ↳ 새들</t>
        </is>
      </c>
      <c r="D73" s="162" t="inlineStr">
        <is>
          <t>22mm</t>
        </is>
      </c>
      <c r="E73" s="161" t="inlineStr">
        <is>
          <t>EA</t>
        </is>
      </c>
      <c r="F73" s="163" t="n">
        <v>33</v>
      </c>
      <c r="G73" s="162" t="inlineStr">
        <is>
          <t>49.4m÷1.5</t>
        </is>
      </c>
      <c r="H73" s="161" t="inlineStr">
        <is>
          <t>◆</t>
        </is>
      </c>
    </row>
    <row r="74" ht="14.25" customHeight="1" s="78">
      <c r="A74" s="158" t="inlineStr">
        <is>
          <t xml:space="preserve">  [4] EF-2 (배기휀 7.5kW (인버터))</t>
        </is>
      </c>
      <c r="B74" s="174" t="n"/>
      <c r="C74" s="174" t="n"/>
      <c r="D74" s="174" t="n"/>
      <c r="E74" s="174" t="n"/>
      <c r="F74" s="174" t="n"/>
      <c r="G74" s="174" t="n"/>
      <c r="H74" s="175" t="n"/>
    </row>
    <row r="75">
      <c r="A75" s="148" t="n">
        <v>1</v>
      </c>
      <c r="B75" s="148" t="inlineStr">
        <is>
          <t>MAT</t>
        </is>
      </c>
      <c r="C75" s="149" t="inlineStr">
        <is>
          <t>강제전선관 (ST)</t>
        </is>
      </c>
      <c r="D75" s="149" t="inlineStr">
        <is>
          <t>22mm</t>
        </is>
      </c>
      <c r="E75" s="148" t="inlineStr">
        <is>
          <t>m</t>
        </is>
      </c>
      <c r="F75" s="160" t="n">
        <v>49.4</v>
      </c>
      <c r="G75" s="149" t="inlineStr">
        <is>
          <t>길이산출 49.4m</t>
        </is>
      </c>
      <c r="H75" s="148" t="inlineStr">
        <is>
          <t>◆</t>
        </is>
      </c>
    </row>
    <row r="76">
      <c r="A76" s="148" t="n">
        <v>2</v>
      </c>
      <c r="B76" s="148" t="inlineStr">
        <is>
          <t>MAT</t>
        </is>
      </c>
      <c r="C76" s="149" t="inlineStr">
        <is>
          <t>HFIX 내열비닐</t>
        </is>
      </c>
      <c r="D76" s="149" t="inlineStr">
        <is>
          <t>6㎟ 4C</t>
        </is>
      </c>
      <c r="E76" s="148" t="inlineStr">
        <is>
          <t>m</t>
        </is>
      </c>
      <c r="F76" s="160" t="n">
        <v>197.6</v>
      </c>
      <c r="G76" s="149" t="inlineStr">
        <is>
          <t>배관49.4m×가닥수</t>
        </is>
      </c>
      <c r="H76" s="148" t="inlineStr">
        <is>
          <t>◆</t>
        </is>
      </c>
    </row>
    <row r="77">
      <c r="A77" s="161" t="inlineStr"/>
      <c r="B77" s="161" t="inlineStr">
        <is>
          <t>ACC</t>
        </is>
      </c>
      <c r="C77" s="162" t="inlineStr">
        <is>
          <t xml:space="preserve">  ↳ 커플링</t>
        </is>
      </c>
      <c r="D77" s="162" t="inlineStr">
        <is>
          <t>22mm</t>
        </is>
      </c>
      <c r="E77" s="161" t="inlineStr">
        <is>
          <t>EA</t>
        </is>
      </c>
      <c r="F77" s="163" t="n">
        <v>14</v>
      </c>
      <c r="G77" s="162" t="inlineStr">
        <is>
          <t>49.4m÷3.6</t>
        </is>
      </c>
      <c r="H77" s="161" t="inlineStr">
        <is>
          <t>◆</t>
        </is>
      </c>
    </row>
    <row r="78">
      <c r="A78" s="161" t="inlineStr"/>
      <c r="B78" s="161" t="inlineStr">
        <is>
          <t>ACC</t>
        </is>
      </c>
      <c r="C78" s="162" t="inlineStr">
        <is>
          <t xml:space="preserve">  ↳ 커넥터</t>
        </is>
      </c>
      <c r="D78" s="162" t="inlineStr">
        <is>
          <t>22mm</t>
        </is>
      </c>
      <c r="E78" s="161" t="inlineStr">
        <is>
          <t>EA</t>
        </is>
      </c>
      <c r="F78" s="163" t="n">
        <v>2</v>
      </c>
      <c r="G78" s="162" t="inlineStr">
        <is>
          <t>양단 2개</t>
        </is>
      </c>
      <c r="H78" s="161" t="inlineStr">
        <is>
          <t>◆</t>
        </is>
      </c>
    </row>
    <row r="79">
      <c r="A79" s="161" t="inlineStr"/>
      <c r="B79" s="161" t="inlineStr">
        <is>
          <t>ACC</t>
        </is>
      </c>
      <c r="C79" s="162" t="inlineStr">
        <is>
          <t xml:space="preserve">  ↳ 부싱</t>
        </is>
      </c>
      <c r="D79" s="162" t="inlineStr">
        <is>
          <t>22mm</t>
        </is>
      </c>
      <c r="E79" s="161" t="inlineStr">
        <is>
          <t>EA</t>
        </is>
      </c>
      <c r="F79" s="163" t="n">
        <v>2</v>
      </c>
      <c r="G79" s="162">
        <f>커넥터수</f>
        <v/>
      </c>
      <c r="H79" s="161" t="inlineStr">
        <is>
          <t>◆</t>
        </is>
      </c>
    </row>
    <row r="80">
      <c r="A80" s="161" t="inlineStr"/>
      <c r="B80" s="161" t="inlineStr">
        <is>
          <t>ACC</t>
        </is>
      </c>
      <c r="C80" s="162" t="inlineStr">
        <is>
          <t xml:space="preserve">  ↳ 로크너트</t>
        </is>
      </c>
      <c r="D80" s="162" t="inlineStr">
        <is>
          <t>22mm</t>
        </is>
      </c>
      <c r="E80" s="161" t="inlineStr">
        <is>
          <t>EA</t>
        </is>
      </c>
      <c r="F80" s="163" t="n">
        <v>4</v>
      </c>
      <c r="G80" s="162">
        <f>커넥터×2</f>
        <v/>
      </c>
      <c r="H80" s="161" t="inlineStr">
        <is>
          <t>◆</t>
        </is>
      </c>
    </row>
    <row r="81">
      <c r="A81" s="161" t="inlineStr"/>
      <c r="B81" s="161" t="inlineStr">
        <is>
          <t>ACC</t>
        </is>
      </c>
      <c r="C81" s="162" t="inlineStr">
        <is>
          <t xml:space="preserve">  ↳ 새들</t>
        </is>
      </c>
      <c r="D81" s="162" t="inlineStr">
        <is>
          <t>22mm</t>
        </is>
      </c>
      <c r="E81" s="161" t="inlineStr">
        <is>
          <t>EA</t>
        </is>
      </c>
      <c r="F81" s="163" t="n">
        <v>33</v>
      </c>
      <c r="G81" s="162" t="inlineStr">
        <is>
          <t>49.4m÷1.5</t>
        </is>
      </c>
      <c r="H81" s="161" t="inlineStr">
        <is>
          <t>◆</t>
        </is>
      </c>
    </row>
    <row r="82" ht="14.25" customHeight="1" s="78">
      <c r="A82" s="158" t="inlineStr">
        <is>
          <t xml:space="preserve">  [5] CDU-1 (CONDENSING UNIT-FOOD REFRIGERATION)</t>
        </is>
      </c>
      <c r="B82" s="174" t="n"/>
      <c r="C82" s="174" t="n"/>
      <c r="D82" s="174" t="n"/>
      <c r="E82" s="174" t="n"/>
      <c r="F82" s="174" t="n"/>
      <c r="G82" s="174" t="n"/>
      <c r="H82" s="175" t="n"/>
    </row>
    <row r="83">
      <c r="A83" s="148" t="n">
        <v>1</v>
      </c>
      <c r="B83" s="148" t="inlineStr">
        <is>
          <t>MAT</t>
        </is>
      </c>
      <c r="C83" s="149" t="inlineStr">
        <is>
          <t>강제전선관 (ST)</t>
        </is>
      </c>
      <c r="D83" s="149" t="inlineStr">
        <is>
          <t>22mm</t>
        </is>
      </c>
      <c r="E83" s="148" t="inlineStr">
        <is>
          <t>m</t>
        </is>
      </c>
      <c r="F83" s="160" t="n">
        <v>49.4</v>
      </c>
      <c r="G83" s="149" t="inlineStr">
        <is>
          <t>길이산출 49.4m</t>
        </is>
      </c>
      <c r="H83" s="148" t="inlineStr">
        <is>
          <t>◆</t>
        </is>
      </c>
    </row>
    <row r="84">
      <c r="A84" s="148" t="n">
        <v>2</v>
      </c>
      <c r="B84" s="148" t="inlineStr">
        <is>
          <t>MAT</t>
        </is>
      </c>
      <c r="C84" s="149" t="inlineStr">
        <is>
          <t>HFIX 내열비닐</t>
        </is>
      </c>
      <c r="D84" s="149" t="inlineStr">
        <is>
          <t>6㎟ 4C</t>
        </is>
      </c>
      <c r="E84" s="148" t="inlineStr">
        <is>
          <t>m</t>
        </is>
      </c>
      <c r="F84" s="160" t="n">
        <v>197.6</v>
      </c>
      <c r="G84" s="149" t="inlineStr">
        <is>
          <t>배관49.4m×가닥수</t>
        </is>
      </c>
      <c r="H84" s="148" t="inlineStr">
        <is>
          <t>◆</t>
        </is>
      </c>
    </row>
    <row r="85">
      <c r="A85" s="161" t="inlineStr"/>
      <c r="B85" s="161" t="inlineStr">
        <is>
          <t>ACC</t>
        </is>
      </c>
      <c r="C85" s="162" t="inlineStr">
        <is>
          <t xml:space="preserve">  ↳ 커플링</t>
        </is>
      </c>
      <c r="D85" s="162" t="inlineStr">
        <is>
          <t>22mm</t>
        </is>
      </c>
      <c r="E85" s="161" t="inlineStr">
        <is>
          <t>EA</t>
        </is>
      </c>
      <c r="F85" s="163" t="n">
        <v>14</v>
      </c>
      <c r="G85" s="162" t="inlineStr">
        <is>
          <t>49.4m÷3.6</t>
        </is>
      </c>
      <c r="H85" s="161" t="inlineStr">
        <is>
          <t>◆</t>
        </is>
      </c>
    </row>
    <row r="86">
      <c r="A86" s="161" t="inlineStr"/>
      <c r="B86" s="161" t="inlineStr">
        <is>
          <t>ACC</t>
        </is>
      </c>
      <c r="C86" s="162" t="inlineStr">
        <is>
          <t xml:space="preserve">  ↳ 커넥터</t>
        </is>
      </c>
      <c r="D86" s="162" t="inlineStr">
        <is>
          <t>22mm</t>
        </is>
      </c>
      <c r="E86" s="161" t="inlineStr">
        <is>
          <t>EA</t>
        </is>
      </c>
      <c r="F86" s="163" t="n">
        <v>2</v>
      </c>
      <c r="G86" s="162" t="inlineStr">
        <is>
          <t>양단 2개</t>
        </is>
      </c>
      <c r="H86" s="161" t="inlineStr">
        <is>
          <t>◆</t>
        </is>
      </c>
    </row>
    <row r="87">
      <c r="A87" s="161" t="inlineStr"/>
      <c r="B87" s="161" t="inlineStr">
        <is>
          <t>ACC</t>
        </is>
      </c>
      <c r="C87" s="162" t="inlineStr">
        <is>
          <t xml:space="preserve">  ↳ 부싱</t>
        </is>
      </c>
      <c r="D87" s="162" t="inlineStr">
        <is>
          <t>22mm</t>
        </is>
      </c>
      <c r="E87" s="161" t="inlineStr">
        <is>
          <t>EA</t>
        </is>
      </c>
      <c r="F87" s="163" t="n">
        <v>2</v>
      </c>
      <c r="G87" s="162">
        <f>커넥터수</f>
        <v/>
      </c>
      <c r="H87" s="161" t="inlineStr">
        <is>
          <t>◆</t>
        </is>
      </c>
    </row>
    <row r="88">
      <c r="A88" s="161" t="inlineStr"/>
      <c r="B88" s="161" t="inlineStr">
        <is>
          <t>ACC</t>
        </is>
      </c>
      <c r="C88" s="162" t="inlineStr">
        <is>
          <t xml:space="preserve">  ↳ 로크너트</t>
        </is>
      </c>
      <c r="D88" s="162" t="inlineStr">
        <is>
          <t>22mm</t>
        </is>
      </c>
      <c r="E88" s="161" t="inlineStr">
        <is>
          <t>EA</t>
        </is>
      </c>
      <c r="F88" s="163" t="n">
        <v>4</v>
      </c>
      <c r="G88" s="162">
        <f>커넥터×2</f>
        <v/>
      </c>
      <c r="H88" s="161" t="inlineStr">
        <is>
          <t>◆</t>
        </is>
      </c>
    </row>
    <row r="89">
      <c r="A89" s="161" t="inlineStr"/>
      <c r="B89" s="161" t="inlineStr">
        <is>
          <t>ACC</t>
        </is>
      </c>
      <c r="C89" s="162" t="inlineStr">
        <is>
          <t xml:space="preserve">  ↳ 새들</t>
        </is>
      </c>
      <c r="D89" s="162" t="inlineStr">
        <is>
          <t>22mm</t>
        </is>
      </c>
      <c r="E89" s="161" t="inlineStr">
        <is>
          <t>EA</t>
        </is>
      </c>
      <c r="F89" s="163" t="n">
        <v>33</v>
      </c>
      <c r="G89" s="162" t="inlineStr">
        <is>
          <t>49.4m÷1.5</t>
        </is>
      </c>
      <c r="H89" s="161" t="inlineStr">
        <is>
          <t>◆</t>
        </is>
      </c>
    </row>
    <row r="90" ht="14.25" customHeight="1" s="78">
      <c r="A90" s="158" t="inlineStr">
        <is>
          <t xml:space="preserve">  [7] A1 (실외기전원)</t>
        </is>
      </c>
      <c r="B90" s="174" t="n"/>
      <c r="C90" s="174" t="n"/>
      <c r="D90" s="174" t="n"/>
      <c r="E90" s="174" t="n"/>
      <c r="F90" s="174" t="n"/>
      <c r="G90" s="174" t="n"/>
      <c r="H90" s="175" t="n"/>
    </row>
    <row r="91">
      <c r="A91" s="148" t="n">
        <v>1</v>
      </c>
      <c r="B91" s="148" t="inlineStr">
        <is>
          <t>MAT</t>
        </is>
      </c>
      <c r="C91" s="149" t="inlineStr">
        <is>
          <t>강제전선관 (ST)</t>
        </is>
      </c>
      <c r="D91" s="149" t="inlineStr">
        <is>
          <t>22mm</t>
        </is>
      </c>
      <c r="E91" s="148" t="inlineStr">
        <is>
          <t>m</t>
        </is>
      </c>
      <c r="F91" s="160" t="n">
        <v>10.4</v>
      </c>
      <c r="G91" s="149" t="inlineStr">
        <is>
          <t>길이산출 10.4m</t>
        </is>
      </c>
      <c r="H91" s="148" t="inlineStr">
        <is>
          <t>◆</t>
        </is>
      </c>
    </row>
    <row r="92">
      <c r="A92" s="148" t="n">
        <v>2</v>
      </c>
      <c r="B92" s="148" t="inlineStr">
        <is>
          <t>MAT</t>
        </is>
      </c>
      <c r="C92" s="149" t="inlineStr">
        <is>
          <t>HFIX 내열비닐</t>
        </is>
      </c>
      <c r="D92" s="149" t="inlineStr">
        <is>
          <t>4㎟ 3C</t>
        </is>
      </c>
      <c r="E92" s="148" t="inlineStr">
        <is>
          <t>m</t>
        </is>
      </c>
      <c r="F92" s="160" t="n">
        <v>31.2</v>
      </c>
      <c r="G92" s="149" t="inlineStr">
        <is>
          <t>배관10.4m×가닥수</t>
        </is>
      </c>
      <c r="H92" s="148" t="inlineStr">
        <is>
          <t>◆</t>
        </is>
      </c>
    </row>
    <row r="93">
      <c r="A93" s="161" t="inlineStr"/>
      <c r="B93" s="161" t="inlineStr">
        <is>
          <t>ACC</t>
        </is>
      </c>
      <c r="C93" s="162" t="inlineStr">
        <is>
          <t xml:space="preserve">  ↳ 커플링</t>
        </is>
      </c>
      <c r="D93" s="162" t="inlineStr">
        <is>
          <t>22mm</t>
        </is>
      </c>
      <c r="E93" s="161" t="inlineStr">
        <is>
          <t>EA</t>
        </is>
      </c>
      <c r="F93" s="163" t="n">
        <v>3</v>
      </c>
      <c r="G93" s="162" t="inlineStr">
        <is>
          <t>10.4m÷3.6</t>
        </is>
      </c>
      <c r="H93" s="161" t="inlineStr">
        <is>
          <t>◆</t>
        </is>
      </c>
    </row>
    <row r="94">
      <c r="A94" s="161" t="inlineStr"/>
      <c r="B94" s="161" t="inlineStr">
        <is>
          <t>ACC</t>
        </is>
      </c>
      <c r="C94" s="162" t="inlineStr">
        <is>
          <t xml:space="preserve">  ↳ 커넥터</t>
        </is>
      </c>
      <c r="D94" s="162" t="inlineStr">
        <is>
          <t>22mm</t>
        </is>
      </c>
      <c r="E94" s="161" t="inlineStr">
        <is>
          <t>EA</t>
        </is>
      </c>
      <c r="F94" s="163" t="n">
        <v>2</v>
      </c>
      <c r="G94" s="162" t="inlineStr">
        <is>
          <t>양단 2개</t>
        </is>
      </c>
      <c r="H94" s="161" t="inlineStr">
        <is>
          <t>◆</t>
        </is>
      </c>
    </row>
    <row r="95">
      <c r="A95" s="161" t="inlineStr"/>
      <c r="B95" s="161" t="inlineStr">
        <is>
          <t>ACC</t>
        </is>
      </c>
      <c r="C95" s="162" t="inlineStr">
        <is>
          <t xml:space="preserve">  ↳ 부싱</t>
        </is>
      </c>
      <c r="D95" s="162" t="inlineStr">
        <is>
          <t>22mm</t>
        </is>
      </c>
      <c r="E95" s="161" t="inlineStr">
        <is>
          <t>EA</t>
        </is>
      </c>
      <c r="F95" s="163" t="n">
        <v>2</v>
      </c>
      <c r="G95" s="162">
        <f>커넥터수</f>
        <v/>
      </c>
      <c r="H95" s="161" t="inlineStr">
        <is>
          <t>◆</t>
        </is>
      </c>
    </row>
    <row r="96">
      <c r="A96" s="161" t="inlineStr"/>
      <c r="B96" s="161" t="inlineStr">
        <is>
          <t>ACC</t>
        </is>
      </c>
      <c r="C96" s="162" t="inlineStr">
        <is>
          <t xml:space="preserve">  ↳ 로크너트</t>
        </is>
      </c>
      <c r="D96" s="162" t="inlineStr">
        <is>
          <t>22mm</t>
        </is>
      </c>
      <c r="E96" s="161" t="inlineStr">
        <is>
          <t>EA</t>
        </is>
      </c>
      <c r="F96" s="163" t="n">
        <v>4</v>
      </c>
      <c r="G96" s="162">
        <f>커넥터×2</f>
        <v/>
      </c>
      <c r="H96" s="161" t="inlineStr">
        <is>
          <t>◆</t>
        </is>
      </c>
    </row>
    <row r="97">
      <c r="A97" s="161" t="inlineStr"/>
      <c r="B97" s="161" t="inlineStr">
        <is>
          <t>ACC</t>
        </is>
      </c>
      <c r="C97" s="162" t="inlineStr">
        <is>
          <t xml:space="preserve">  ↳ 새들</t>
        </is>
      </c>
      <c r="D97" s="162" t="inlineStr">
        <is>
          <t>22mm</t>
        </is>
      </c>
      <c r="E97" s="161" t="inlineStr">
        <is>
          <t>EA</t>
        </is>
      </c>
      <c r="F97" s="163" t="n">
        <v>7</v>
      </c>
      <c r="G97" s="162" t="inlineStr">
        <is>
          <t>10.4m÷1.5</t>
        </is>
      </c>
      <c r="H97" s="161" t="inlineStr">
        <is>
          <t>◆</t>
        </is>
      </c>
    </row>
    <row r="98" ht="14.25" customHeight="1" s="78">
      <c r="A98" s="158" t="inlineStr">
        <is>
          <t xml:space="preserve">  [22] ERV1 (전열교환기)</t>
        </is>
      </c>
      <c r="B98" s="174" t="n"/>
      <c r="C98" s="174" t="n"/>
      <c r="D98" s="174" t="n"/>
      <c r="E98" s="174" t="n"/>
      <c r="F98" s="174" t="n"/>
      <c r="G98" s="174" t="n"/>
      <c r="H98" s="175" t="n"/>
    </row>
    <row r="99">
      <c r="A99" s="148" t="n">
        <v>1</v>
      </c>
      <c r="B99" s="148" t="inlineStr">
        <is>
          <t>MAT</t>
        </is>
      </c>
      <c r="C99" s="149" t="inlineStr">
        <is>
          <t>강제전선관 (ST)</t>
        </is>
      </c>
      <c r="D99" s="149" t="inlineStr">
        <is>
          <t>16mm</t>
        </is>
      </c>
      <c r="E99" s="148" t="inlineStr">
        <is>
          <t>m</t>
        </is>
      </c>
      <c r="F99" s="160" t="n">
        <v>15.6</v>
      </c>
      <c r="G99" s="149" t="inlineStr">
        <is>
          <t>길이산출 15.6m</t>
        </is>
      </c>
      <c r="H99" s="148" t="inlineStr">
        <is>
          <t>◆</t>
        </is>
      </c>
    </row>
    <row r="100">
      <c r="A100" s="148" t="n">
        <v>2</v>
      </c>
      <c r="B100" s="148" t="inlineStr">
        <is>
          <t>MAT</t>
        </is>
      </c>
      <c r="C100" s="149" t="inlineStr">
        <is>
          <t>HFIX 내열비닐</t>
        </is>
      </c>
      <c r="D100" s="149" t="inlineStr">
        <is>
          <t>2.5㎟ 3C</t>
        </is>
      </c>
      <c r="E100" s="148" t="inlineStr">
        <is>
          <t>m</t>
        </is>
      </c>
      <c r="F100" s="160" t="n">
        <v>46.8</v>
      </c>
      <c r="G100" s="149" t="inlineStr">
        <is>
          <t>배관15.6m×가닥수</t>
        </is>
      </c>
      <c r="H100" s="148" t="inlineStr">
        <is>
          <t>◆</t>
        </is>
      </c>
    </row>
    <row r="101">
      <c r="A101" s="161" t="inlineStr"/>
      <c r="B101" s="161" t="inlineStr">
        <is>
          <t>ACC</t>
        </is>
      </c>
      <c r="C101" s="162" t="inlineStr">
        <is>
          <t xml:space="preserve">  ↳ 커플링</t>
        </is>
      </c>
      <c r="D101" s="162" t="inlineStr">
        <is>
          <t>16mm</t>
        </is>
      </c>
      <c r="E101" s="161" t="inlineStr">
        <is>
          <t>EA</t>
        </is>
      </c>
      <c r="F101" s="163" t="n">
        <v>5</v>
      </c>
      <c r="G101" s="162" t="inlineStr">
        <is>
          <t>15.6m÷3.6</t>
        </is>
      </c>
      <c r="H101" s="161" t="inlineStr">
        <is>
          <t>◆</t>
        </is>
      </c>
    </row>
    <row r="102">
      <c r="A102" s="161" t="inlineStr"/>
      <c r="B102" s="161" t="inlineStr">
        <is>
          <t>ACC</t>
        </is>
      </c>
      <c r="C102" s="162" t="inlineStr">
        <is>
          <t xml:space="preserve">  ↳ 커넥터</t>
        </is>
      </c>
      <c r="D102" s="162" t="inlineStr">
        <is>
          <t>16mm</t>
        </is>
      </c>
      <c r="E102" s="161" t="inlineStr">
        <is>
          <t>EA</t>
        </is>
      </c>
      <c r="F102" s="163" t="n">
        <v>2</v>
      </c>
      <c r="G102" s="162" t="inlineStr">
        <is>
          <t>양단 2개</t>
        </is>
      </c>
      <c r="H102" s="161" t="inlineStr">
        <is>
          <t>◆</t>
        </is>
      </c>
    </row>
    <row r="103">
      <c r="A103" s="161" t="inlineStr"/>
      <c r="B103" s="161" t="inlineStr">
        <is>
          <t>ACC</t>
        </is>
      </c>
      <c r="C103" s="162" t="inlineStr">
        <is>
          <t xml:space="preserve">  ↳ 부싱</t>
        </is>
      </c>
      <c r="D103" s="162" t="inlineStr">
        <is>
          <t>16mm</t>
        </is>
      </c>
      <c r="E103" s="161" t="inlineStr">
        <is>
          <t>EA</t>
        </is>
      </c>
      <c r="F103" s="163" t="n">
        <v>2</v>
      </c>
      <c r="G103" s="162">
        <f>커넥터수</f>
        <v/>
      </c>
      <c r="H103" s="161" t="inlineStr">
        <is>
          <t>◆</t>
        </is>
      </c>
    </row>
    <row r="104">
      <c r="A104" s="161" t="inlineStr"/>
      <c r="B104" s="161" t="inlineStr">
        <is>
          <t>ACC</t>
        </is>
      </c>
      <c r="C104" s="162" t="inlineStr">
        <is>
          <t xml:space="preserve">  ↳ 로크너트</t>
        </is>
      </c>
      <c r="D104" s="162" t="inlineStr">
        <is>
          <t>16mm</t>
        </is>
      </c>
      <c r="E104" s="161" t="inlineStr">
        <is>
          <t>EA</t>
        </is>
      </c>
      <c r="F104" s="163" t="n">
        <v>4</v>
      </c>
      <c r="G104" s="162">
        <f>커넥터×2</f>
        <v/>
      </c>
      <c r="H104" s="161" t="inlineStr">
        <is>
          <t>◆</t>
        </is>
      </c>
    </row>
    <row r="105">
      <c r="A105" s="161" t="inlineStr"/>
      <c r="B105" s="161" t="inlineStr">
        <is>
          <t>ACC</t>
        </is>
      </c>
      <c r="C105" s="162" t="inlineStr">
        <is>
          <t xml:space="preserve">  ↳ 새들</t>
        </is>
      </c>
      <c r="D105" s="162" t="inlineStr">
        <is>
          <t>16mm</t>
        </is>
      </c>
      <c r="E105" s="161" t="inlineStr">
        <is>
          <t>EA</t>
        </is>
      </c>
      <c r="F105" s="163" t="n">
        <v>11</v>
      </c>
      <c r="G105" s="162" t="inlineStr">
        <is>
          <t>15.6m÷1.5</t>
        </is>
      </c>
      <c r="H105" s="161" t="inlineStr">
        <is>
          <t>◆</t>
        </is>
      </c>
    </row>
    <row r="106" ht="14.25" customHeight="1" s="78">
      <c r="A106" s="158" t="inlineStr">
        <is>
          <t xml:space="preserve">  [23] S1 (SIGN)</t>
        </is>
      </c>
      <c r="B106" s="174" t="n"/>
      <c r="C106" s="174" t="n"/>
      <c r="D106" s="174" t="n"/>
      <c r="E106" s="174" t="n"/>
      <c r="F106" s="174" t="n"/>
      <c r="G106" s="174" t="n"/>
      <c r="H106" s="175" t="n"/>
    </row>
    <row r="107">
      <c r="A107" s="148" t="n">
        <v>1</v>
      </c>
      <c r="B107" s="148" t="inlineStr">
        <is>
          <t>MAT</t>
        </is>
      </c>
      <c r="C107" s="149" t="inlineStr">
        <is>
          <t>강제전선관 (ST)</t>
        </is>
      </c>
      <c r="D107" s="149" t="inlineStr">
        <is>
          <t>16mm</t>
        </is>
      </c>
      <c r="E107" s="148" t="inlineStr">
        <is>
          <t>m</t>
        </is>
      </c>
      <c r="F107" s="160" t="n">
        <v>16.9</v>
      </c>
      <c r="G107" s="149" t="inlineStr">
        <is>
          <t>길이산출 16.9m</t>
        </is>
      </c>
      <c r="H107" s="148" t="inlineStr">
        <is>
          <t>◆</t>
        </is>
      </c>
    </row>
    <row r="108">
      <c r="A108" s="148" t="n">
        <v>2</v>
      </c>
      <c r="B108" s="148" t="inlineStr">
        <is>
          <t>MAT</t>
        </is>
      </c>
      <c r="C108" s="149" t="inlineStr">
        <is>
          <t>HFIX 내열비닐</t>
        </is>
      </c>
      <c r="D108" s="149" t="inlineStr">
        <is>
          <t>2.5㎟ 3C</t>
        </is>
      </c>
      <c r="E108" s="148" t="inlineStr">
        <is>
          <t>m</t>
        </is>
      </c>
      <c r="F108" s="160" t="n">
        <v>50.7</v>
      </c>
      <c r="G108" s="149" t="inlineStr">
        <is>
          <t>배관16.9m×가닥수</t>
        </is>
      </c>
      <c r="H108" s="148" t="inlineStr">
        <is>
          <t>◆</t>
        </is>
      </c>
    </row>
    <row r="109">
      <c r="A109" s="161" t="inlineStr"/>
      <c r="B109" s="161" t="inlineStr">
        <is>
          <t>ACC</t>
        </is>
      </c>
      <c r="C109" s="162" t="inlineStr">
        <is>
          <t xml:space="preserve">  ↳ 커플링</t>
        </is>
      </c>
      <c r="D109" s="162" t="inlineStr">
        <is>
          <t>16mm</t>
        </is>
      </c>
      <c r="E109" s="161" t="inlineStr">
        <is>
          <t>EA</t>
        </is>
      </c>
      <c r="F109" s="163" t="n">
        <v>5</v>
      </c>
      <c r="G109" s="162" t="inlineStr">
        <is>
          <t>16.9m÷3.6</t>
        </is>
      </c>
      <c r="H109" s="161" t="inlineStr">
        <is>
          <t>◆</t>
        </is>
      </c>
    </row>
    <row r="110">
      <c r="A110" s="161" t="inlineStr"/>
      <c r="B110" s="161" t="inlineStr">
        <is>
          <t>ACC</t>
        </is>
      </c>
      <c r="C110" s="162" t="inlineStr">
        <is>
          <t xml:space="preserve">  ↳ 커넥터</t>
        </is>
      </c>
      <c r="D110" s="162" t="inlineStr">
        <is>
          <t>16mm</t>
        </is>
      </c>
      <c r="E110" s="161" t="inlineStr">
        <is>
          <t>EA</t>
        </is>
      </c>
      <c r="F110" s="163" t="n">
        <v>2</v>
      </c>
      <c r="G110" s="162" t="inlineStr">
        <is>
          <t>양단 2개</t>
        </is>
      </c>
      <c r="H110" s="161" t="inlineStr">
        <is>
          <t>◆</t>
        </is>
      </c>
    </row>
    <row r="111">
      <c r="A111" s="161" t="inlineStr"/>
      <c r="B111" s="161" t="inlineStr">
        <is>
          <t>ACC</t>
        </is>
      </c>
      <c r="C111" s="162" t="inlineStr">
        <is>
          <t xml:space="preserve">  ↳ 부싱</t>
        </is>
      </c>
      <c r="D111" s="162" t="inlineStr">
        <is>
          <t>16mm</t>
        </is>
      </c>
      <c r="E111" s="161" t="inlineStr">
        <is>
          <t>EA</t>
        </is>
      </c>
      <c r="F111" s="163" t="n">
        <v>2</v>
      </c>
      <c r="G111" s="162">
        <f>커넥터수</f>
        <v/>
      </c>
      <c r="H111" s="161" t="inlineStr">
        <is>
          <t>◆</t>
        </is>
      </c>
    </row>
    <row r="112">
      <c r="A112" s="161" t="inlineStr"/>
      <c r="B112" s="161" t="inlineStr">
        <is>
          <t>ACC</t>
        </is>
      </c>
      <c r="C112" s="162" t="inlineStr">
        <is>
          <t xml:space="preserve">  ↳ 로크너트</t>
        </is>
      </c>
      <c r="D112" s="162" t="inlineStr">
        <is>
          <t>16mm</t>
        </is>
      </c>
      <c r="E112" s="161" t="inlineStr">
        <is>
          <t>EA</t>
        </is>
      </c>
      <c r="F112" s="163" t="n">
        <v>4</v>
      </c>
      <c r="G112" s="162">
        <f>커넥터×2</f>
        <v/>
      </c>
      <c r="H112" s="161" t="inlineStr">
        <is>
          <t>◆</t>
        </is>
      </c>
    </row>
    <row r="113">
      <c r="A113" s="161" t="inlineStr"/>
      <c r="B113" s="161" t="inlineStr">
        <is>
          <t>ACC</t>
        </is>
      </c>
      <c r="C113" s="162" t="inlineStr">
        <is>
          <t xml:space="preserve">  ↳ 새들</t>
        </is>
      </c>
      <c r="D113" s="162" t="inlineStr">
        <is>
          <t>16mm</t>
        </is>
      </c>
      <c r="E113" s="161" t="inlineStr">
        <is>
          <t>EA</t>
        </is>
      </c>
      <c r="F113" s="163" t="n">
        <v>12</v>
      </c>
      <c r="G113" s="162" t="inlineStr">
        <is>
          <t>16.9m÷1.5</t>
        </is>
      </c>
      <c r="H113" s="161" t="inlineStr">
        <is>
          <t>◆</t>
        </is>
      </c>
    </row>
    <row r="114" ht="14.25" customHeight="1" s="78">
      <c r="A114" s="158" t="inlineStr">
        <is>
          <t xml:space="preserve">  [24] S3 (SIGN)</t>
        </is>
      </c>
      <c r="B114" s="174" t="n"/>
      <c r="C114" s="174" t="n"/>
      <c r="D114" s="174" t="n"/>
      <c r="E114" s="174" t="n"/>
      <c r="F114" s="174" t="n"/>
      <c r="G114" s="174" t="n"/>
      <c r="H114" s="175" t="n"/>
    </row>
    <row r="115">
      <c r="A115" s="148" t="n">
        <v>1</v>
      </c>
      <c r="B115" s="148" t="inlineStr">
        <is>
          <t>MAT</t>
        </is>
      </c>
      <c r="C115" s="149" t="inlineStr">
        <is>
          <t>강제전선관 (ST)</t>
        </is>
      </c>
      <c r="D115" s="149" t="inlineStr">
        <is>
          <t>16mm</t>
        </is>
      </c>
      <c r="E115" s="148" t="inlineStr">
        <is>
          <t>m</t>
        </is>
      </c>
      <c r="F115" s="160" t="n">
        <v>16.9</v>
      </c>
      <c r="G115" s="149" t="inlineStr">
        <is>
          <t>길이산출 16.9m</t>
        </is>
      </c>
      <c r="H115" s="148" t="inlineStr">
        <is>
          <t>◆</t>
        </is>
      </c>
    </row>
    <row r="116">
      <c r="A116" s="148" t="n">
        <v>2</v>
      </c>
      <c r="B116" s="148" t="inlineStr">
        <is>
          <t>MAT</t>
        </is>
      </c>
      <c r="C116" s="149" t="inlineStr">
        <is>
          <t>HFIX 내열비닐</t>
        </is>
      </c>
      <c r="D116" s="149" t="inlineStr">
        <is>
          <t>2.5㎟ 3C</t>
        </is>
      </c>
      <c r="E116" s="148" t="inlineStr">
        <is>
          <t>m</t>
        </is>
      </c>
      <c r="F116" s="160" t="n">
        <v>50.7</v>
      </c>
      <c r="G116" s="149" t="inlineStr">
        <is>
          <t>배관16.9m×가닥수</t>
        </is>
      </c>
      <c r="H116" s="148" t="inlineStr">
        <is>
          <t>◆</t>
        </is>
      </c>
    </row>
    <row r="117">
      <c r="A117" s="161" t="inlineStr"/>
      <c r="B117" s="161" t="inlineStr">
        <is>
          <t>ACC</t>
        </is>
      </c>
      <c r="C117" s="162" t="inlineStr">
        <is>
          <t xml:space="preserve">  ↳ 커플링</t>
        </is>
      </c>
      <c r="D117" s="162" t="inlineStr">
        <is>
          <t>16mm</t>
        </is>
      </c>
      <c r="E117" s="161" t="inlineStr">
        <is>
          <t>EA</t>
        </is>
      </c>
      <c r="F117" s="163" t="n">
        <v>5</v>
      </c>
      <c r="G117" s="162" t="inlineStr">
        <is>
          <t>16.9m÷3.6</t>
        </is>
      </c>
      <c r="H117" s="161" t="inlineStr">
        <is>
          <t>◆</t>
        </is>
      </c>
    </row>
    <row r="118">
      <c r="A118" s="161" t="inlineStr"/>
      <c r="B118" s="161" t="inlineStr">
        <is>
          <t>ACC</t>
        </is>
      </c>
      <c r="C118" s="162" t="inlineStr">
        <is>
          <t xml:space="preserve">  ↳ 커넥터</t>
        </is>
      </c>
      <c r="D118" s="162" t="inlineStr">
        <is>
          <t>16mm</t>
        </is>
      </c>
      <c r="E118" s="161" t="inlineStr">
        <is>
          <t>EA</t>
        </is>
      </c>
      <c r="F118" s="163" t="n">
        <v>2</v>
      </c>
      <c r="G118" s="162" t="inlineStr">
        <is>
          <t>양단 2개</t>
        </is>
      </c>
      <c r="H118" s="161" t="inlineStr">
        <is>
          <t>◆</t>
        </is>
      </c>
    </row>
    <row r="119">
      <c r="A119" s="161" t="inlineStr"/>
      <c r="B119" s="161" t="inlineStr">
        <is>
          <t>ACC</t>
        </is>
      </c>
      <c r="C119" s="162" t="inlineStr">
        <is>
          <t xml:space="preserve">  ↳ 부싱</t>
        </is>
      </c>
      <c r="D119" s="162" t="inlineStr">
        <is>
          <t>16mm</t>
        </is>
      </c>
      <c r="E119" s="161" t="inlineStr">
        <is>
          <t>EA</t>
        </is>
      </c>
      <c r="F119" s="163" t="n">
        <v>2</v>
      </c>
      <c r="G119" s="162">
        <f>커넥터수</f>
        <v/>
      </c>
      <c r="H119" s="161" t="inlineStr">
        <is>
          <t>◆</t>
        </is>
      </c>
    </row>
    <row r="120">
      <c r="A120" s="161" t="inlineStr"/>
      <c r="B120" s="161" t="inlineStr">
        <is>
          <t>ACC</t>
        </is>
      </c>
      <c r="C120" s="162" t="inlineStr">
        <is>
          <t xml:space="preserve">  ↳ 로크너트</t>
        </is>
      </c>
      <c r="D120" s="162" t="inlineStr">
        <is>
          <t>16mm</t>
        </is>
      </c>
      <c r="E120" s="161" t="inlineStr">
        <is>
          <t>EA</t>
        </is>
      </c>
      <c r="F120" s="163" t="n">
        <v>4</v>
      </c>
      <c r="G120" s="162">
        <f>커넥터×2</f>
        <v/>
      </c>
      <c r="H120" s="161" t="inlineStr">
        <is>
          <t>◆</t>
        </is>
      </c>
    </row>
    <row r="121">
      <c r="A121" s="161" t="inlineStr"/>
      <c r="B121" s="161" t="inlineStr">
        <is>
          <t>ACC</t>
        </is>
      </c>
      <c r="C121" s="162" t="inlineStr">
        <is>
          <t xml:space="preserve">  ↳ 새들</t>
        </is>
      </c>
      <c r="D121" s="162" t="inlineStr">
        <is>
          <t>16mm</t>
        </is>
      </c>
      <c r="E121" s="161" t="inlineStr">
        <is>
          <t>EA</t>
        </is>
      </c>
      <c r="F121" s="163" t="n">
        <v>12</v>
      </c>
      <c r="G121" s="162" t="inlineStr">
        <is>
          <t>16.9m÷1.5</t>
        </is>
      </c>
      <c r="H121" s="161" t="inlineStr">
        <is>
          <t>◆</t>
        </is>
      </c>
    </row>
    <row r="122" ht="14.25" customHeight="1" s="78">
      <c r="A122" s="158" t="inlineStr">
        <is>
          <t xml:space="preserve">  [27] EF-1 (배기휀 1)</t>
        </is>
      </c>
      <c r="B122" s="174" t="n"/>
      <c r="C122" s="174" t="n"/>
      <c r="D122" s="174" t="n"/>
      <c r="E122" s="174" t="n"/>
      <c r="F122" s="174" t="n"/>
      <c r="G122" s="174" t="n"/>
      <c r="H122" s="175" t="n"/>
    </row>
    <row r="123">
      <c r="A123" s="148" t="n">
        <v>1</v>
      </c>
      <c r="B123" s="148" t="inlineStr">
        <is>
          <t>MAT</t>
        </is>
      </c>
      <c r="C123" s="149" t="inlineStr">
        <is>
          <t>강제전선관 (ST)</t>
        </is>
      </c>
      <c r="D123" s="149" t="inlineStr">
        <is>
          <t>22mm</t>
        </is>
      </c>
      <c r="E123" s="148" t="inlineStr">
        <is>
          <t>m</t>
        </is>
      </c>
      <c r="F123" s="160" t="n">
        <v>49.4</v>
      </c>
      <c r="G123" s="149" t="inlineStr">
        <is>
          <t>길이산출 49.4m</t>
        </is>
      </c>
      <c r="H123" s="148" t="inlineStr">
        <is>
          <t>◆</t>
        </is>
      </c>
    </row>
    <row r="124">
      <c r="A124" s="148" t="n">
        <v>2</v>
      </c>
      <c r="B124" s="148" t="inlineStr">
        <is>
          <t>MAT</t>
        </is>
      </c>
      <c r="C124" s="149" t="inlineStr">
        <is>
          <t>HFIX 내열비닐</t>
        </is>
      </c>
      <c r="D124" s="149" t="inlineStr">
        <is>
          <t>6㎟ 4C</t>
        </is>
      </c>
      <c r="E124" s="148" t="inlineStr">
        <is>
          <t>m</t>
        </is>
      </c>
      <c r="F124" s="160" t="n">
        <v>197.6</v>
      </c>
      <c r="G124" s="149" t="inlineStr">
        <is>
          <t>배관49.4m×가닥수</t>
        </is>
      </c>
      <c r="H124" s="148" t="inlineStr">
        <is>
          <t>◆</t>
        </is>
      </c>
    </row>
    <row r="125">
      <c r="A125" s="161" t="inlineStr"/>
      <c r="B125" s="161" t="inlineStr">
        <is>
          <t>ACC</t>
        </is>
      </c>
      <c r="C125" s="162" t="inlineStr">
        <is>
          <t xml:space="preserve">  ↳ 커플링</t>
        </is>
      </c>
      <c r="D125" s="162" t="inlineStr">
        <is>
          <t>22mm</t>
        </is>
      </c>
      <c r="E125" s="161" t="inlineStr">
        <is>
          <t>EA</t>
        </is>
      </c>
      <c r="F125" s="163" t="n">
        <v>14</v>
      </c>
      <c r="G125" s="162" t="inlineStr">
        <is>
          <t>49.4m÷3.6</t>
        </is>
      </c>
      <c r="H125" s="161" t="inlineStr">
        <is>
          <t>◆</t>
        </is>
      </c>
    </row>
    <row r="126">
      <c r="A126" s="161" t="inlineStr"/>
      <c r="B126" s="161" t="inlineStr">
        <is>
          <t>ACC</t>
        </is>
      </c>
      <c r="C126" s="162" t="inlineStr">
        <is>
          <t xml:space="preserve">  ↳ 커넥터</t>
        </is>
      </c>
      <c r="D126" s="162" t="inlineStr">
        <is>
          <t>22mm</t>
        </is>
      </c>
      <c r="E126" s="161" t="inlineStr">
        <is>
          <t>EA</t>
        </is>
      </c>
      <c r="F126" s="163" t="n">
        <v>2</v>
      </c>
      <c r="G126" s="162" t="inlineStr">
        <is>
          <t>양단 2개</t>
        </is>
      </c>
      <c r="H126" s="161" t="inlineStr">
        <is>
          <t>◆</t>
        </is>
      </c>
    </row>
    <row r="127">
      <c r="A127" s="161" t="inlineStr"/>
      <c r="B127" s="161" t="inlineStr">
        <is>
          <t>ACC</t>
        </is>
      </c>
      <c r="C127" s="162" t="inlineStr">
        <is>
          <t xml:space="preserve">  ↳ 부싱</t>
        </is>
      </c>
      <c r="D127" s="162" t="inlineStr">
        <is>
          <t>22mm</t>
        </is>
      </c>
      <c r="E127" s="161" t="inlineStr">
        <is>
          <t>EA</t>
        </is>
      </c>
      <c r="F127" s="163" t="n">
        <v>2</v>
      </c>
      <c r="G127" s="162">
        <f>커넥터수</f>
        <v/>
      </c>
      <c r="H127" s="161" t="inlineStr">
        <is>
          <t>◆</t>
        </is>
      </c>
    </row>
    <row r="128">
      <c r="A128" s="161" t="inlineStr"/>
      <c r="B128" s="161" t="inlineStr">
        <is>
          <t>ACC</t>
        </is>
      </c>
      <c r="C128" s="162" t="inlineStr">
        <is>
          <t xml:space="preserve">  ↳ 로크너트</t>
        </is>
      </c>
      <c r="D128" s="162" t="inlineStr">
        <is>
          <t>22mm</t>
        </is>
      </c>
      <c r="E128" s="161" t="inlineStr">
        <is>
          <t>EA</t>
        </is>
      </c>
      <c r="F128" s="163" t="n">
        <v>4</v>
      </c>
      <c r="G128" s="162">
        <f>커넥터×2</f>
        <v/>
      </c>
      <c r="H128" s="161" t="inlineStr">
        <is>
          <t>◆</t>
        </is>
      </c>
    </row>
    <row r="129">
      <c r="A129" s="161" t="inlineStr"/>
      <c r="B129" s="161" t="inlineStr">
        <is>
          <t>ACC</t>
        </is>
      </c>
      <c r="C129" s="162" t="inlineStr">
        <is>
          <t xml:space="preserve">  ↳ 새들</t>
        </is>
      </c>
      <c r="D129" s="162" t="inlineStr">
        <is>
          <t>22mm</t>
        </is>
      </c>
      <c r="E129" s="161" t="inlineStr">
        <is>
          <t>EA</t>
        </is>
      </c>
      <c r="F129" s="163" t="n">
        <v>33</v>
      </c>
      <c r="G129" s="162" t="inlineStr">
        <is>
          <t>49.4m÷1.5</t>
        </is>
      </c>
      <c r="H129" s="161" t="inlineStr">
        <is>
          <t>◆</t>
        </is>
      </c>
    </row>
    <row r="130" ht="14.25" customHeight="1" s="78">
      <c r="A130" s="158" t="inlineStr">
        <is>
          <t xml:space="preserve">  [28] OAC-2 (실외기2)</t>
        </is>
      </c>
      <c r="B130" s="174" t="n"/>
      <c r="C130" s="174" t="n"/>
      <c r="D130" s="174" t="n"/>
      <c r="E130" s="174" t="n"/>
      <c r="F130" s="174" t="n"/>
      <c r="G130" s="174" t="n"/>
      <c r="H130" s="175" t="n"/>
    </row>
    <row r="131">
      <c r="A131" s="148" t="n">
        <v>1</v>
      </c>
      <c r="B131" s="148" t="inlineStr">
        <is>
          <t>MAT</t>
        </is>
      </c>
      <c r="C131" s="149" t="inlineStr">
        <is>
          <t>강제전선관 (ST)</t>
        </is>
      </c>
      <c r="D131" s="149" t="inlineStr">
        <is>
          <t>22mm</t>
        </is>
      </c>
      <c r="E131" s="148" t="inlineStr">
        <is>
          <t>m</t>
        </is>
      </c>
      <c r="F131" s="160" t="n">
        <v>49.4</v>
      </c>
      <c r="G131" s="149" t="inlineStr">
        <is>
          <t>길이산출 49.4m</t>
        </is>
      </c>
      <c r="H131" s="148" t="inlineStr">
        <is>
          <t>◆</t>
        </is>
      </c>
    </row>
    <row r="132">
      <c r="A132" s="148" t="n">
        <v>2</v>
      </c>
      <c r="B132" s="148" t="inlineStr">
        <is>
          <t>MAT</t>
        </is>
      </c>
      <c r="C132" s="149" t="inlineStr">
        <is>
          <t>HFIX 내열비닐</t>
        </is>
      </c>
      <c r="D132" s="149" t="inlineStr">
        <is>
          <t>6㎟ 4C</t>
        </is>
      </c>
      <c r="E132" s="148" t="inlineStr">
        <is>
          <t>m</t>
        </is>
      </c>
      <c r="F132" s="160" t="n">
        <v>197.6</v>
      </c>
      <c r="G132" s="149" t="inlineStr">
        <is>
          <t>배관49.4m×가닥수</t>
        </is>
      </c>
      <c r="H132" s="148" t="inlineStr">
        <is>
          <t>◆</t>
        </is>
      </c>
    </row>
    <row r="133">
      <c r="A133" s="161" t="inlineStr"/>
      <c r="B133" s="161" t="inlineStr">
        <is>
          <t>ACC</t>
        </is>
      </c>
      <c r="C133" s="162" t="inlineStr">
        <is>
          <t xml:space="preserve">  ↳ 커플링</t>
        </is>
      </c>
      <c r="D133" s="162" t="inlineStr">
        <is>
          <t>22mm</t>
        </is>
      </c>
      <c r="E133" s="161" t="inlineStr">
        <is>
          <t>EA</t>
        </is>
      </c>
      <c r="F133" s="163" t="n">
        <v>14</v>
      </c>
      <c r="G133" s="162" t="inlineStr">
        <is>
          <t>49.4m÷3.6</t>
        </is>
      </c>
      <c r="H133" s="161" t="inlineStr">
        <is>
          <t>◆</t>
        </is>
      </c>
    </row>
    <row r="134">
      <c r="A134" s="161" t="inlineStr"/>
      <c r="B134" s="161" t="inlineStr">
        <is>
          <t>ACC</t>
        </is>
      </c>
      <c r="C134" s="162" t="inlineStr">
        <is>
          <t xml:space="preserve">  ↳ 커넥터</t>
        </is>
      </c>
      <c r="D134" s="162" t="inlineStr">
        <is>
          <t>22mm</t>
        </is>
      </c>
      <c r="E134" s="161" t="inlineStr">
        <is>
          <t>EA</t>
        </is>
      </c>
      <c r="F134" s="163" t="n">
        <v>2</v>
      </c>
      <c r="G134" s="162" t="inlineStr">
        <is>
          <t>양단 2개</t>
        </is>
      </c>
      <c r="H134" s="161" t="inlineStr">
        <is>
          <t>◆</t>
        </is>
      </c>
    </row>
    <row r="135">
      <c r="A135" s="161" t="inlineStr"/>
      <c r="B135" s="161" t="inlineStr">
        <is>
          <t>ACC</t>
        </is>
      </c>
      <c r="C135" s="162" t="inlineStr">
        <is>
          <t xml:space="preserve">  ↳ 부싱</t>
        </is>
      </c>
      <c r="D135" s="162" t="inlineStr">
        <is>
          <t>22mm</t>
        </is>
      </c>
      <c r="E135" s="161" t="inlineStr">
        <is>
          <t>EA</t>
        </is>
      </c>
      <c r="F135" s="163" t="n">
        <v>2</v>
      </c>
      <c r="G135" s="162">
        <f>커넥터수</f>
        <v/>
      </c>
      <c r="H135" s="161" t="inlineStr">
        <is>
          <t>◆</t>
        </is>
      </c>
    </row>
    <row r="136">
      <c r="A136" s="161" t="inlineStr"/>
      <c r="B136" s="161" t="inlineStr">
        <is>
          <t>ACC</t>
        </is>
      </c>
      <c r="C136" s="162" t="inlineStr">
        <is>
          <t xml:space="preserve">  ↳ 로크너트</t>
        </is>
      </c>
      <c r="D136" s="162" t="inlineStr">
        <is>
          <t>22mm</t>
        </is>
      </c>
      <c r="E136" s="161" t="inlineStr">
        <is>
          <t>EA</t>
        </is>
      </c>
      <c r="F136" s="163" t="n">
        <v>4</v>
      </c>
      <c r="G136" s="162">
        <f>커넥터×2</f>
        <v/>
      </c>
      <c r="H136" s="161" t="inlineStr">
        <is>
          <t>◆</t>
        </is>
      </c>
    </row>
    <row r="137">
      <c r="A137" s="161" t="inlineStr"/>
      <c r="B137" s="161" t="inlineStr">
        <is>
          <t>ACC</t>
        </is>
      </c>
      <c r="C137" s="162" t="inlineStr">
        <is>
          <t xml:space="preserve">  ↳ 새들</t>
        </is>
      </c>
      <c r="D137" s="162" t="inlineStr">
        <is>
          <t>22mm</t>
        </is>
      </c>
      <c r="E137" s="161" t="inlineStr">
        <is>
          <t>EA</t>
        </is>
      </c>
      <c r="F137" s="163" t="n">
        <v>33</v>
      </c>
      <c r="G137" s="162" t="inlineStr">
        <is>
          <t>49.4m÷1.5</t>
        </is>
      </c>
      <c r="H137" s="161" t="inlineStr">
        <is>
          <t>◆</t>
        </is>
      </c>
    </row>
    <row r="138" ht="14.25" customHeight="1" s="78">
      <c r="A138" s="158" t="inlineStr">
        <is>
          <t xml:space="preserve">  [31] CDU-2 (CONDENSING UNIT-MEAT REFRIGERATION)</t>
        </is>
      </c>
      <c r="B138" s="174" t="n"/>
      <c r="C138" s="174" t="n"/>
      <c r="D138" s="174" t="n"/>
      <c r="E138" s="174" t="n"/>
      <c r="F138" s="174" t="n"/>
      <c r="G138" s="174" t="n"/>
      <c r="H138" s="175" t="n"/>
    </row>
    <row r="139">
      <c r="A139" s="148" t="n">
        <v>1</v>
      </c>
      <c r="B139" s="148" t="inlineStr">
        <is>
          <t>MAT</t>
        </is>
      </c>
      <c r="C139" s="149" t="inlineStr">
        <is>
          <t>강제전선관 (ST)</t>
        </is>
      </c>
      <c r="D139" s="149" t="inlineStr">
        <is>
          <t>22mm</t>
        </is>
      </c>
      <c r="E139" s="148" t="inlineStr">
        <is>
          <t>m</t>
        </is>
      </c>
      <c r="F139" s="160" t="n">
        <v>49.4</v>
      </c>
      <c r="G139" s="149" t="inlineStr">
        <is>
          <t>길이산출 49.4m</t>
        </is>
      </c>
      <c r="H139" s="148" t="inlineStr">
        <is>
          <t>◆</t>
        </is>
      </c>
    </row>
    <row r="140">
      <c r="A140" s="148" t="n">
        <v>2</v>
      </c>
      <c r="B140" s="148" t="inlineStr">
        <is>
          <t>MAT</t>
        </is>
      </c>
      <c r="C140" s="149" t="inlineStr">
        <is>
          <t>HFIX 내열비닐</t>
        </is>
      </c>
      <c r="D140" s="149" t="inlineStr">
        <is>
          <t>6㎟ 4C</t>
        </is>
      </c>
      <c r="E140" s="148" t="inlineStr">
        <is>
          <t>m</t>
        </is>
      </c>
      <c r="F140" s="160" t="n">
        <v>197.6</v>
      </c>
      <c r="G140" s="149" t="inlineStr">
        <is>
          <t>배관49.4m×가닥수</t>
        </is>
      </c>
      <c r="H140" s="148" t="inlineStr">
        <is>
          <t>◆</t>
        </is>
      </c>
    </row>
    <row r="141">
      <c r="A141" s="161" t="inlineStr"/>
      <c r="B141" s="161" t="inlineStr">
        <is>
          <t>ACC</t>
        </is>
      </c>
      <c r="C141" s="162" t="inlineStr">
        <is>
          <t xml:space="preserve">  ↳ 커플링</t>
        </is>
      </c>
      <c r="D141" s="162" t="inlineStr">
        <is>
          <t>22mm</t>
        </is>
      </c>
      <c r="E141" s="161" t="inlineStr">
        <is>
          <t>EA</t>
        </is>
      </c>
      <c r="F141" s="163" t="n">
        <v>14</v>
      </c>
      <c r="G141" s="162" t="inlineStr">
        <is>
          <t>49.4m÷3.6</t>
        </is>
      </c>
      <c r="H141" s="161" t="inlineStr">
        <is>
          <t>◆</t>
        </is>
      </c>
    </row>
    <row r="142">
      <c r="A142" s="161" t="inlineStr"/>
      <c r="B142" s="161" t="inlineStr">
        <is>
          <t>ACC</t>
        </is>
      </c>
      <c r="C142" s="162" t="inlineStr">
        <is>
          <t xml:space="preserve">  ↳ 커넥터</t>
        </is>
      </c>
      <c r="D142" s="162" t="inlineStr">
        <is>
          <t>22mm</t>
        </is>
      </c>
      <c r="E142" s="161" t="inlineStr">
        <is>
          <t>EA</t>
        </is>
      </c>
      <c r="F142" s="163" t="n">
        <v>2</v>
      </c>
      <c r="G142" s="162" t="inlineStr">
        <is>
          <t>양단 2개</t>
        </is>
      </c>
      <c r="H142" s="161" t="inlineStr">
        <is>
          <t>◆</t>
        </is>
      </c>
    </row>
    <row r="143">
      <c r="A143" s="161" t="inlineStr"/>
      <c r="B143" s="161" t="inlineStr">
        <is>
          <t>ACC</t>
        </is>
      </c>
      <c r="C143" s="162" t="inlineStr">
        <is>
          <t xml:space="preserve">  ↳ 부싱</t>
        </is>
      </c>
      <c r="D143" s="162" t="inlineStr">
        <is>
          <t>22mm</t>
        </is>
      </c>
      <c r="E143" s="161" t="inlineStr">
        <is>
          <t>EA</t>
        </is>
      </c>
      <c r="F143" s="163" t="n">
        <v>2</v>
      </c>
      <c r="G143" s="162">
        <f>커넥터수</f>
        <v/>
      </c>
      <c r="H143" s="161" t="inlineStr">
        <is>
          <t>◆</t>
        </is>
      </c>
    </row>
    <row r="144">
      <c r="A144" s="161" t="inlineStr"/>
      <c r="B144" s="161" t="inlineStr">
        <is>
          <t>ACC</t>
        </is>
      </c>
      <c r="C144" s="162" t="inlineStr">
        <is>
          <t xml:space="preserve">  ↳ 로크너트</t>
        </is>
      </c>
      <c r="D144" s="162" t="inlineStr">
        <is>
          <t>22mm</t>
        </is>
      </c>
      <c r="E144" s="161" t="inlineStr">
        <is>
          <t>EA</t>
        </is>
      </c>
      <c r="F144" s="163" t="n">
        <v>4</v>
      </c>
      <c r="G144" s="162">
        <f>커넥터×2</f>
        <v/>
      </c>
      <c r="H144" s="161" t="inlineStr">
        <is>
          <t>◆</t>
        </is>
      </c>
    </row>
    <row r="145">
      <c r="A145" s="161" t="inlineStr"/>
      <c r="B145" s="161" t="inlineStr">
        <is>
          <t>ACC</t>
        </is>
      </c>
      <c r="C145" s="162" t="inlineStr">
        <is>
          <t xml:space="preserve">  ↳ 새들</t>
        </is>
      </c>
      <c r="D145" s="162" t="inlineStr">
        <is>
          <t>22mm</t>
        </is>
      </c>
      <c r="E145" s="161" t="inlineStr">
        <is>
          <t>EA</t>
        </is>
      </c>
      <c r="F145" s="163" t="n">
        <v>33</v>
      </c>
      <c r="G145" s="162" t="inlineStr">
        <is>
          <t>49.4m÷1.5</t>
        </is>
      </c>
      <c r="H145" s="161" t="inlineStr">
        <is>
          <t>◆</t>
        </is>
      </c>
    </row>
    <row r="146" ht="14.25" customHeight="1" s="78">
      <c r="A146" s="158" t="inlineStr">
        <is>
          <t xml:space="preserve">  [33] A2 (실내기전원)</t>
        </is>
      </c>
      <c r="B146" s="174" t="n"/>
      <c r="C146" s="174" t="n"/>
      <c r="D146" s="174" t="n"/>
      <c r="E146" s="174" t="n"/>
      <c r="F146" s="174" t="n"/>
      <c r="G146" s="174" t="n"/>
      <c r="H146" s="175" t="n"/>
    </row>
    <row r="147">
      <c r="A147" s="148" t="n">
        <v>1</v>
      </c>
      <c r="B147" s="148" t="inlineStr">
        <is>
          <t>MAT</t>
        </is>
      </c>
      <c r="C147" s="149" t="inlineStr">
        <is>
          <t>강제전선관 (ST)</t>
        </is>
      </c>
      <c r="D147" s="149" t="inlineStr">
        <is>
          <t>22mm</t>
        </is>
      </c>
      <c r="E147" s="148" t="inlineStr">
        <is>
          <t>m</t>
        </is>
      </c>
      <c r="F147" s="160" t="n">
        <v>10.4</v>
      </c>
      <c r="G147" s="149" t="inlineStr">
        <is>
          <t>길이산출 10.4m</t>
        </is>
      </c>
      <c r="H147" s="148" t="inlineStr">
        <is>
          <t>◆</t>
        </is>
      </c>
    </row>
    <row r="148">
      <c r="A148" s="148" t="n">
        <v>2</v>
      </c>
      <c r="B148" s="148" t="inlineStr">
        <is>
          <t>MAT</t>
        </is>
      </c>
      <c r="C148" s="149" t="inlineStr">
        <is>
          <t>HFIX 내열비닐</t>
        </is>
      </c>
      <c r="D148" s="149" t="inlineStr">
        <is>
          <t>4㎟ 3C</t>
        </is>
      </c>
      <c r="E148" s="148" t="inlineStr">
        <is>
          <t>m</t>
        </is>
      </c>
      <c r="F148" s="160" t="n">
        <v>31.2</v>
      </c>
      <c r="G148" s="149" t="inlineStr">
        <is>
          <t>배관10.4m×가닥수</t>
        </is>
      </c>
      <c r="H148" s="148" t="inlineStr">
        <is>
          <t>◆</t>
        </is>
      </c>
    </row>
    <row r="149">
      <c r="A149" s="161" t="inlineStr"/>
      <c r="B149" s="161" t="inlineStr">
        <is>
          <t>ACC</t>
        </is>
      </c>
      <c r="C149" s="162" t="inlineStr">
        <is>
          <t xml:space="preserve">  ↳ 커플링</t>
        </is>
      </c>
      <c r="D149" s="162" t="inlineStr">
        <is>
          <t>22mm</t>
        </is>
      </c>
      <c r="E149" s="161" t="inlineStr">
        <is>
          <t>EA</t>
        </is>
      </c>
      <c r="F149" s="163" t="n">
        <v>3</v>
      </c>
      <c r="G149" s="162" t="inlineStr">
        <is>
          <t>10.4m÷3.6</t>
        </is>
      </c>
      <c r="H149" s="161" t="inlineStr">
        <is>
          <t>◆</t>
        </is>
      </c>
    </row>
    <row r="150">
      <c r="A150" s="161" t="inlineStr"/>
      <c r="B150" s="161" t="inlineStr">
        <is>
          <t>ACC</t>
        </is>
      </c>
      <c r="C150" s="162" t="inlineStr">
        <is>
          <t xml:space="preserve">  ↳ 커넥터</t>
        </is>
      </c>
      <c r="D150" s="162" t="inlineStr">
        <is>
          <t>22mm</t>
        </is>
      </c>
      <c r="E150" s="161" t="inlineStr">
        <is>
          <t>EA</t>
        </is>
      </c>
      <c r="F150" s="163" t="n">
        <v>2</v>
      </c>
      <c r="G150" s="162" t="inlineStr">
        <is>
          <t>양단 2개</t>
        </is>
      </c>
      <c r="H150" s="161" t="inlineStr">
        <is>
          <t>◆</t>
        </is>
      </c>
    </row>
    <row r="151">
      <c r="A151" s="161" t="inlineStr"/>
      <c r="B151" s="161" t="inlineStr">
        <is>
          <t>ACC</t>
        </is>
      </c>
      <c r="C151" s="162" t="inlineStr">
        <is>
          <t xml:space="preserve">  ↳ 부싱</t>
        </is>
      </c>
      <c r="D151" s="162" t="inlineStr">
        <is>
          <t>22mm</t>
        </is>
      </c>
      <c r="E151" s="161" t="inlineStr">
        <is>
          <t>EA</t>
        </is>
      </c>
      <c r="F151" s="163" t="n">
        <v>2</v>
      </c>
      <c r="G151" s="162">
        <f>커넥터수</f>
        <v/>
      </c>
      <c r="H151" s="161" t="inlineStr">
        <is>
          <t>◆</t>
        </is>
      </c>
    </row>
    <row r="152">
      <c r="A152" s="161" t="inlineStr"/>
      <c r="B152" s="161" t="inlineStr">
        <is>
          <t>ACC</t>
        </is>
      </c>
      <c r="C152" s="162" t="inlineStr">
        <is>
          <t xml:space="preserve">  ↳ 로크너트</t>
        </is>
      </c>
      <c r="D152" s="162" t="inlineStr">
        <is>
          <t>22mm</t>
        </is>
      </c>
      <c r="E152" s="161" t="inlineStr">
        <is>
          <t>EA</t>
        </is>
      </c>
      <c r="F152" s="163" t="n">
        <v>4</v>
      </c>
      <c r="G152" s="162">
        <f>커넥터×2</f>
        <v/>
      </c>
      <c r="H152" s="161" t="inlineStr">
        <is>
          <t>◆</t>
        </is>
      </c>
    </row>
    <row r="153">
      <c r="A153" s="161" t="inlineStr"/>
      <c r="B153" s="161" t="inlineStr">
        <is>
          <t>ACC</t>
        </is>
      </c>
      <c r="C153" s="162" t="inlineStr">
        <is>
          <t xml:space="preserve">  ↳ 새들</t>
        </is>
      </c>
      <c r="D153" s="162" t="inlineStr">
        <is>
          <t>22mm</t>
        </is>
      </c>
      <c r="E153" s="161" t="inlineStr">
        <is>
          <t>EA</t>
        </is>
      </c>
      <c r="F153" s="163" t="n">
        <v>7</v>
      </c>
      <c r="G153" s="162" t="inlineStr">
        <is>
          <t>10.4m÷1.5</t>
        </is>
      </c>
      <c r="H153" s="161" t="inlineStr">
        <is>
          <t>◆</t>
        </is>
      </c>
    </row>
    <row r="154" ht="14.25" customHeight="1" s="78">
      <c r="A154" s="158" t="inlineStr">
        <is>
          <t xml:space="preserve">  [48] ERV2 (전열교환기2)</t>
        </is>
      </c>
      <c r="B154" s="174" t="n"/>
      <c r="C154" s="174" t="n"/>
      <c r="D154" s="174" t="n"/>
      <c r="E154" s="174" t="n"/>
      <c r="F154" s="174" t="n"/>
      <c r="G154" s="174" t="n"/>
      <c r="H154" s="175" t="n"/>
    </row>
    <row r="155">
      <c r="A155" s="148" t="n">
        <v>1</v>
      </c>
      <c r="B155" s="148" t="inlineStr">
        <is>
          <t>MAT</t>
        </is>
      </c>
      <c r="C155" s="149" t="inlineStr">
        <is>
          <t>강제전선관 (ST)</t>
        </is>
      </c>
      <c r="D155" s="149" t="inlineStr">
        <is>
          <t>16mm</t>
        </is>
      </c>
      <c r="E155" s="148" t="inlineStr">
        <is>
          <t>m</t>
        </is>
      </c>
      <c r="F155" s="160" t="n">
        <v>15.6</v>
      </c>
      <c r="G155" s="149" t="inlineStr">
        <is>
          <t>길이산출 15.6m</t>
        </is>
      </c>
      <c r="H155" s="148" t="inlineStr">
        <is>
          <t>◆</t>
        </is>
      </c>
    </row>
    <row r="156">
      <c r="A156" s="148" t="n">
        <v>2</v>
      </c>
      <c r="B156" s="148" t="inlineStr">
        <is>
          <t>MAT</t>
        </is>
      </c>
      <c r="C156" s="149" t="inlineStr">
        <is>
          <t>HFIX 내열비닐</t>
        </is>
      </c>
      <c r="D156" s="149" t="inlineStr">
        <is>
          <t>2.5㎟ 3C</t>
        </is>
      </c>
      <c r="E156" s="148" t="inlineStr">
        <is>
          <t>m</t>
        </is>
      </c>
      <c r="F156" s="160" t="n">
        <v>46.8</v>
      </c>
      <c r="G156" s="149" t="inlineStr">
        <is>
          <t>배관15.6m×가닥수</t>
        </is>
      </c>
      <c r="H156" s="148" t="inlineStr">
        <is>
          <t>◆</t>
        </is>
      </c>
    </row>
    <row r="157">
      <c r="A157" s="161" t="inlineStr"/>
      <c r="B157" s="161" t="inlineStr">
        <is>
          <t>ACC</t>
        </is>
      </c>
      <c r="C157" s="162" t="inlineStr">
        <is>
          <t xml:space="preserve">  ↳ 커플링</t>
        </is>
      </c>
      <c r="D157" s="162" t="inlineStr">
        <is>
          <t>16mm</t>
        </is>
      </c>
      <c r="E157" s="161" t="inlineStr">
        <is>
          <t>EA</t>
        </is>
      </c>
      <c r="F157" s="163" t="n">
        <v>5</v>
      </c>
      <c r="G157" s="162" t="inlineStr">
        <is>
          <t>15.6m÷3.6</t>
        </is>
      </c>
      <c r="H157" s="161" t="inlineStr">
        <is>
          <t>◆</t>
        </is>
      </c>
    </row>
    <row r="158">
      <c r="A158" s="161" t="inlineStr"/>
      <c r="B158" s="161" t="inlineStr">
        <is>
          <t>ACC</t>
        </is>
      </c>
      <c r="C158" s="162" t="inlineStr">
        <is>
          <t xml:space="preserve">  ↳ 커넥터</t>
        </is>
      </c>
      <c r="D158" s="162" t="inlineStr">
        <is>
          <t>16mm</t>
        </is>
      </c>
      <c r="E158" s="161" t="inlineStr">
        <is>
          <t>EA</t>
        </is>
      </c>
      <c r="F158" s="163" t="n">
        <v>2</v>
      </c>
      <c r="G158" s="162" t="inlineStr">
        <is>
          <t>양단 2개</t>
        </is>
      </c>
      <c r="H158" s="161" t="inlineStr">
        <is>
          <t>◆</t>
        </is>
      </c>
    </row>
    <row r="159">
      <c r="A159" s="161" t="inlineStr"/>
      <c r="B159" s="161" t="inlineStr">
        <is>
          <t>ACC</t>
        </is>
      </c>
      <c r="C159" s="162" t="inlineStr">
        <is>
          <t xml:space="preserve">  ↳ 부싱</t>
        </is>
      </c>
      <c r="D159" s="162" t="inlineStr">
        <is>
          <t>16mm</t>
        </is>
      </c>
      <c r="E159" s="161" t="inlineStr">
        <is>
          <t>EA</t>
        </is>
      </c>
      <c r="F159" s="163" t="n">
        <v>2</v>
      </c>
      <c r="G159" s="162">
        <f>커넥터수</f>
        <v/>
      </c>
      <c r="H159" s="161" t="inlineStr">
        <is>
          <t>◆</t>
        </is>
      </c>
    </row>
    <row r="160">
      <c r="A160" s="161" t="inlineStr"/>
      <c r="B160" s="161" t="inlineStr">
        <is>
          <t>ACC</t>
        </is>
      </c>
      <c r="C160" s="162" t="inlineStr">
        <is>
          <t xml:space="preserve">  ↳ 로크너트</t>
        </is>
      </c>
      <c r="D160" s="162" t="inlineStr">
        <is>
          <t>16mm</t>
        </is>
      </c>
      <c r="E160" s="161" t="inlineStr">
        <is>
          <t>EA</t>
        </is>
      </c>
      <c r="F160" s="163" t="n">
        <v>4</v>
      </c>
      <c r="G160" s="162">
        <f>커넥터×2</f>
        <v/>
      </c>
      <c r="H160" s="161" t="inlineStr">
        <is>
          <t>◆</t>
        </is>
      </c>
    </row>
    <row r="161">
      <c r="A161" s="161" t="inlineStr"/>
      <c r="B161" s="161" t="inlineStr">
        <is>
          <t>ACC</t>
        </is>
      </c>
      <c r="C161" s="162" t="inlineStr">
        <is>
          <t xml:space="preserve">  ↳ 새들</t>
        </is>
      </c>
      <c r="D161" s="162" t="inlineStr">
        <is>
          <t>16mm</t>
        </is>
      </c>
      <c r="E161" s="161" t="inlineStr">
        <is>
          <t>EA</t>
        </is>
      </c>
      <c r="F161" s="163" t="n">
        <v>11</v>
      </c>
      <c r="G161" s="162" t="inlineStr">
        <is>
          <t>15.6m÷1.5</t>
        </is>
      </c>
      <c r="H161" s="161" t="inlineStr">
        <is>
          <t>◆</t>
        </is>
      </c>
    </row>
    <row r="162" ht="14.25" customHeight="1" s="78">
      <c r="A162" s="158" t="inlineStr">
        <is>
          <t xml:space="preserve">  [49] S2 (SIGN)</t>
        </is>
      </c>
      <c r="B162" s="174" t="n"/>
      <c r="C162" s="174" t="n"/>
      <c r="D162" s="174" t="n"/>
      <c r="E162" s="174" t="n"/>
      <c r="F162" s="174" t="n"/>
      <c r="G162" s="174" t="n"/>
      <c r="H162" s="175" t="n"/>
    </row>
    <row r="163">
      <c r="A163" s="148" t="n">
        <v>1</v>
      </c>
      <c r="B163" s="148" t="inlineStr">
        <is>
          <t>MAT</t>
        </is>
      </c>
      <c r="C163" s="149" t="inlineStr">
        <is>
          <t>강제전선관 (ST)</t>
        </is>
      </c>
      <c r="D163" s="149" t="inlineStr">
        <is>
          <t>16mm</t>
        </is>
      </c>
      <c r="E163" s="148" t="inlineStr">
        <is>
          <t>m</t>
        </is>
      </c>
      <c r="F163" s="160" t="n">
        <v>16.9</v>
      </c>
      <c r="G163" s="149" t="inlineStr">
        <is>
          <t>길이산출 16.9m</t>
        </is>
      </c>
      <c r="H163" s="148" t="inlineStr">
        <is>
          <t>◆</t>
        </is>
      </c>
    </row>
    <row r="164">
      <c r="A164" s="148" t="n">
        <v>2</v>
      </c>
      <c r="B164" s="148" t="inlineStr">
        <is>
          <t>MAT</t>
        </is>
      </c>
      <c r="C164" s="149" t="inlineStr">
        <is>
          <t>HFIX 내열비닐</t>
        </is>
      </c>
      <c r="D164" s="149" t="inlineStr">
        <is>
          <t>2.5㎟ 3C</t>
        </is>
      </c>
      <c r="E164" s="148" t="inlineStr">
        <is>
          <t>m</t>
        </is>
      </c>
      <c r="F164" s="160" t="n">
        <v>50.7</v>
      </c>
      <c r="G164" s="149" t="inlineStr">
        <is>
          <t>배관16.9m×가닥수</t>
        </is>
      </c>
      <c r="H164" s="148" t="inlineStr">
        <is>
          <t>◆</t>
        </is>
      </c>
    </row>
    <row r="165">
      <c r="A165" s="161" t="inlineStr"/>
      <c r="B165" s="161" t="inlineStr">
        <is>
          <t>ACC</t>
        </is>
      </c>
      <c r="C165" s="162" t="inlineStr">
        <is>
          <t xml:space="preserve">  ↳ 커플링</t>
        </is>
      </c>
      <c r="D165" s="162" t="inlineStr">
        <is>
          <t>16mm</t>
        </is>
      </c>
      <c r="E165" s="161" t="inlineStr">
        <is>
          <t>EA</t>
        </is>
      </c>
      <c r="F165" s="163" t="n">
        <v>5</v>
      </c>
      <c r="G165" s="162" t="inlineStr">
        <is>
          <t>16.9m÷3.6</t>
        </is>
      </c>
      <c r="H165" s="161" t="inlineStr">
        <is>
          <t>◆</t>
        </is>
      </c>
    </row>
    <row r="166">
      <c r="A166" s="161" t="inlineStr"/>
      <c r="B166" s="161" t="inlineStr">
        <is>
          <t>ACC</t>
        </is>
      </c>
      <c r="C166" s="162" t="inlineStr">
        <is>
          <t xml:space="preserve">  ↳ 커넥터</t>
        </is>
      </c>
      <c r="D166" s="162" t="inlineStr">
        <is>
          <t>16mm</t>
        </is>
      </c>
      <c r="E166" s="161" t="inlineStr">
        <is>
          <t>EA</t>
        </is>
      </c>
      <c r="F166" s="163" t="n">
        <v>2</v>
      </c>
      <c r="G166" s="162" t="inlineStr">
        <is>
          <t>양단 2개</t>
        </is>
      </c>
      <c r="H166" s="161" t="inlineStr">
        <is>
          <t>◆</t>
        </is>
      </c>
    </row>
    <row r="167">
      <c r="A167" s="161" t="inlineStr"/>
      <c r="B167" s="161" t="inlineStr">
        <is>
          <t>ACC</t>
        </is>
      </c>
      <c r="C167" s="162" t="inlineStr">
        <is>
          <t xml:space="preserve">  ↳ 부싱</t>
        </is>
      </c>
      <c r="D167" s="162" t="inlineStr">
        <is>
          <t>16mm</t>
        </is>
      </c>
      <c r="E167" s="161" t="inlineStr">
        <is>
          <t>EA</t>
        </is>
      </c>
      <c r="F167" s="163" t="n">
        <v>2</v>
      </c>
      <c r="G167" s="162">
        <f>커넥터수</f>
        <v/>
      </c>
      <c r="H167" s="161" t="inlineStr">
        <is>
          <t>◆</t>
        </is>
      </c>
    </row>
    <row r="168">
      <c r="A168" s="161" t="inlineStr"/>
      <c r="B168" s="161" t="inlineStr">
        <is>
          <t>ACC</t>
        </is>
      </c>
      <c r="C168" s="162" t="inlineStr">
        <is>
          <t xml:space="preserve">  ↳ 로크너트</t>
        </is>
      </c>
      <c r="D168" s="162" t="inlineStr">
        <is>
          <t>16mm</t>
        </is>
      </c>
      <c r="E168" s="161" t="inlineStr">
        <is>
          <t>EA</t>
        </is>
      </c>
      <c r="F168" s="163" t="n">
        <v>4</v>
      </c>
      <c r="G168" s="162">
        <f>커넥터×2</f>
        <v/>
      </c>
      <c r="H168" s="161" t="inlineStr">
        <is>
          <t>◆</t>
        </is>
      </c>
    </row>
    <row r="169">
      <c r="A169" s="161" t="inlineStr"/>
      <c r="B169" s="161" t="inlineStr">
        <is>
          <t>ACC</t>
        </is>
      </c>
      <c r="C169" s="162" t="inlineStr">
        <is>
          <t xml:space="preserve">  ↳ 새들</t>
        </is>
      </c>
      <c r="D169" s="162" t="inlineStr">
        <is>
          <t>16mm</t>
        </is>
      </c>
      <c r="E169" s="161" t="inlineStr">
        <is>
          <t>EA</t>
        </is>
      </c>
      <c r="F169" s="163" t="n">
        <v>12</v>
      </c>
      <c r="G169" s="162" t="inlineStr">
        <is>
          <t>16.9m÷1.5</t>
        </is>
      </c>
      <c r="H169" s="161" t="inlineStr">
        <is>
          <t>◆</t>
        </is>
      </c>
    </row>
    <row r="170">
      <c r="A170" s="161" t="inlineStr"/>
      <c r="B170" s="161" t="inlineStr">
        <is>
          <t>SUP</t>
        </is>
      </c>
      <c r="C170" s="162" t="inlineStr">
        <is>
          <t>전산볼트 M10 × 1m</t>
        </is>
      </c>
      <c r="D170" s="162" t="inlineStr">
        <is>
          <t>M10</t>
        </is>
      </c>
      <c r="E170" s="161" t="inlineStr">
        <is>
          <t>EA</t>
        </is>
      </c>
      <c r="F170" s="163" t="n">
        <v>267</v>
      </c>
      <c r="G170" s="162" t="inlineStr">
        <is>
          <t>총배관399.1m÷1.5</t>
        </is>
      </c>
      <c r="H170" s="161" t="inlineStr">
        <is>
          <t>◆</t>
        </is>
      </c>
    </row>
    <row r="171">
      <c r="A171" s="161" t="inlineStr"/>
      <c r="B171" s="161" t="inlineStr">
        <is>
          <t>SUP</t>
        </is>
      </c>
      <c r="C171" s="162" t="inlineStr">
        <is>
          <t>유크램프</t>
        </is>
      </c>
      <c r="D171" s="162" t="inlineStr">
        <is>
          <t>공용</t>
        </is>
      </c>
      <c r="E171" s="161" t="inlineStr">
        <is>
          <t>EA</t>
        </is>
      </c>
      <c r="F171" s="163" t="n">
        <v>267</v>
      </c>
      <c r="G171" s="162" t="inlineStr">
        <is>
          <t>총배관399.1m÷1.5</t>
        </is>
      </c>
      <c r="H171" s="161" t="inlineStr">
        <is>
          <t>◆</t>
        </is>
      </c>
    </row>
    <row r="172">
      <c r="A172" s="161" t="inlineStr"/>
      <c r="B172" s="161" t="inlineStr">
        <is>
          <t>CMN</t>
        </is>
      </c>
      <c r="C172" s="162" t="inlineStr">
        <is>
          <t>아울렛 박스 (4각)</t>
        </is>
      </c>
      <c r="D172" s="162" t="inlineStr">
        <is>
          <t>4각</t>
        </is>
      </c>
      <c r="E172" s="161" t="inlineStr">
        <is>
          <t>EA</t>
        </is>
      </c>
      <c r="F172" s="163" t="n">
        <v>26</v>
      </c>
      <c r="G172" s="162" t="inlineStr">
        <is>
          <t>접속점26개</t>
        </is>
      </c>
      <c r="H172" s="161" t="inlineStr">
        <is>
          <t>▲</t>
        </is>
      </c>
    </row>
    <row r="173">
      <c r="A173" s="161" t="inlineStr"/>
      <c r="B173" s="161" t="inlineStr">
        <is>
          <t>CMN</t>
        </is>
      </c>
      <c r="C173" s="162" t="inlineStr">
        <is>
          <t>풀박스</t>
        </is>
      </c>
      <c r="D173" s="162" t="inlineStr">
        <is>
          <t>200×200</t>
        </is>
      </c>
      <c r="E173" s="161" t="inlineStr">
        <is>
          <t>EA</t>
        </is>
      </c>
      <c r="F173" s="163" t="n">
        <v>13</v>
      </c>
      <c r="G173" s="162" t="inlineStr">
        <is>
          <t>399.1m÷30</t>
        </is>
      </c>
      <c r="H173" s="161" t="inlineStr">
        <is>
          <t>▲</t>
        </is>
      </c>
    </row>
    <row r="174">
      <c r="A174" s="161" t="inlineStr"/>
      <c r="B174" s="161" t="inlineStr">
        <is>
          <t>CMN</t>
        </is>
      </c>
      <c r="C174" s="162" t="inlineStr">
        <is>
          <t>와이어 커넥터</t>
        </is>
      </c>
      <c r="D174" s="162" t="inlineStr">
        <is>
          <t>중</t>
        </is>
      </c>
      <c r="E174" s="161" t="inlineStr">
        <is>
          <t>셋</t>
        </is>
      </c>
      <c r="F174" s="163" t="n">
        <v>78</v>
      </c>
      <c r="G174" s="162" t="inlineStr">
        <is>
          <t>접속점26×3</t>
        </is>
      </c>
      <c r="H174" s="161" t="inlineStr">
        <is>
          <t>▲</t>
        </is>
      </c>
    </row>
    <row r="175">
      <c r="A175" s="161" t="inlineStr"/>
      <c r="B175" s="161" t="inlineStr">
        <is>
          <t>CMN</t>
        </is>
      </c>
      <c r="C175" s="162" t="inlineStr">
        <is>
          <t>PVC 테이프</t>
        </is>
      </c>
      <c r="D175" s="162" t="inlineStr">
        <is>
          <t>19mm</t>
        </is>
      </c>
      <c r="E175" s="161" t="inlineStr">
        <is>
          <t>롤</t>
        </is>
      </c>
      <c r="F175" s="163" t="n">
        <v>3</v>
      </c>
      <c r="G175" s="162" t="inlineStr">
        <is>
          <t>접속점26÷10</t>
        </is>
      </c>
      <c r="H175" s="161" t="inlineStr">
        <is>
          <t>▲</t>
        </is>
      </c>
    </row>
    <row r="176" ht="14.25" customHeight="1" s="78">
      <c r="A176" s="165" t="inlineStr">
        <is>
          <t>( 1F 동력·환기공사 소계 )</t>
        </is>
      </c>
      <c r="B176" s="174" t="n"/>
      <c r="C176" s="174" t="n"/>
      <c r="D176" s="174" t="n"/>
      <c r="E176" s="174" t="n"/>
      <c r="F176" s="174" t="n"/>
      <c r="G176" s="174" t="n"/>
      <c r="H176" s="175" t="n"/>
    </row>
    <row r="177">
      <c r="A177" s="167" t="inlineStr"/>
      <c r="B177" s="167" t="inlineStr">
        <is>
          <t>MAT</t>
        </is>
      </c>
      <c r="C177" s="168" t="inlineStr">
        <is>
          <t>HFIX 내열비닐</t>
        </is>
      </c>
      <c r="D177" s="168" t="inlineStr">
        <is>
          <t>2.5㎟ 3C</t>
        </is>
      </c>
      <c r="E177" s="167" t="inlineStr">
        <is>
          <t>m</t>
        </is>
      </c>
      <c r="F177" s="169" t="n">
        <v>245.7</v>
      </c>
      <c r="G177" s="168" t="inlineStr">
        <is>
          <t>22(46.8)+23(50.7)+24(50.7)+48(46.8)+49(50.7)</t>
        </is>
      </c>
      <c r="H177" s="167" t="inlineStr"/>
    </row>
    <row r="178">
      <c r="A178" s="167" t="inlineStr"/>
      <c r="B178" s="167" t="inlineStr">
        <is>
          <t>MAT</t>
        </is>
      </c>
      <c r="C178" s="168" t="inlineStr">
        <is>
          <t>HFIX 내열비닐</t>
        </is>
      </c>
      <c r="D178" s="168" t="inlineStr">
        <is>
          <t>4㎟ 3C</t>
        </is>
      </c>
      <c r="E178" s="167" t="inlineStr">
        <is>
          <t>m</t>
        </is>
      </c>
      <c r="F178" s="169" t="n">
        <v>62.4</v>
      </c>
      <c r="G178" s="168" t="inlineStr">
        <is>
          <t>7(31.2)+33(31.2)</t>
        </is>
      </c>
      <c r="H178" s="167" t="inlineStr"/>
    </row>
    <row r="179">
      <c r="A179" s="167" t="inlineStr"/>
      <c r="B179" s="167" t="inlineStr">
        <is>
          <t>MAT</t>
        </is>
      </c>
      <c r="C179" s="168" t="inlineStr">
        <is>
          <t>HFIX 내열비닐</t>
        </is>
      </c>
      <c r="D179" s="168" t="inlineStr">
        <is>
          <t>6㎟ 4C</t>
        </is>
      </c>
      <c r="E179" s="167" t="inlineStr">
        <is>
          <t>m</t>
        </is>
      </c>
      <c r="F179" s="169" t="n">
        <v>1185.6</v>
      </c>
      <c r="G179" s="168" t="inlineStr">
        <is>
          <t>2(197.6)+4(197.6)+5(197.6)+27(197.6)+28(197.6)+31(197.6)</t>
        </is>
      </c>
      <c r="H179" s="167" t="inlineStr"/>
    </row>
    <row r="180">
      <c r="A180" s="167" t="inlineStr"/>
      <c r="B180" s="167" t="inlineStr">
        <is>
          <t>MAT</t>
        </is>
      </c>
      <c r="C180" s="168" t="inlineStr">
        <is>
          <t>강제전선관 (ST)</t>
        </is>
      </c>
      <c r="D180" s="168" t="inlineStr">
        <is>
          <t>16mm</t>
        </is>
      </c>
      <c r="E180" s="167" t="inlineStr">
        <is>
          <t>m</t>
        </is>
      </c>
      <c r="F180" s="169" t="n">
        <v>81.90000000000001</v>
      </c>
      <c r="G180" s="168" t="inlineStr">
        <is>
          <t>22(15.6)+23(16.9)+24(16.9)+48(15.6)+49(16.9)</t>
        </is>
      </c>
      <c r="H180" s="167" t="inlineStr"/>
    </row>
    <row r="181">
      <c r="A181" s="167" t="inlineStr"/>
      <c r="B181" s="167" t="inlineStr">
        <is>
          <t>MAT</t>
        </is>
      </c>
      <c r="C181" s="168" t="inlineStr">
        <is>
          <t>강제전선관 (ST)</t>
        </is>
      </c>
      <c r="D181" s="168" t="inlineStr">
        <is>
          <t>22mm</t>
        </is>
      </c>
      <c r="E181" s="167" t="inlineStr">
        <is>
          <t>m</t>
        </is>
      </c>
      <c r="F181" s="169" t="n">
        <v>317.2</v>
      </c>
      <c r="G181" s="168" t="inlineStr">
        <is>
          <t>2(49.4)+4(49.4)+5(49.4)+...(8회로)</t>
        </is>
      </c>
      <c r="H181" s="167" t="inlineStr"/>
    </row>
    <row r="182">
      <c r="A182" s="167" t="inlineStr"/>
      <c r="B182" s="167" t="inlineStr">
        <is>
          <t>ACC</t>
        </is>
      </c>
      <c r="C182" s="168" t="inlineStr">
        <is>
          <t>로크너트</t>
        </is>
      </c>
      <c r="D182" s="168" t="inlineStr">
        <is>
          <t>16mm</t>
        </is>
      </c>
      <c r="E182" s="167" t="inlineStr">
        <is>
          <t>EA</t>
        </is>
      </c>
      <c r="F182" s="170" t="n">
        <v>20</v>
      </c>
      <c r="G182" s="168" t="inlineStr">
        <is>
          <t>22(4)+23(4)+24(4)+48(4)+49(4)</t>
        </is>
      </c>
      <c r="H182" s="167" t="inlineStr"/>
    </row>
    <row r="183">
      <c r="A183" s="167" t="inlineStr"/>
      <c r="B183" s="167" t="inlineStr">
        <is>
          <t>ACC</t>
        </is>
      </c>
      <c r="C183" s="168" t="inlineStr">
        <is>
          <t>로크너트</t>
        </is>
      </c>
      <c r="D183" s="168" t="inlineStr">
        <is>
          <t>22mm</t>
        </is>
      </c>
      <c r="E183" s="167" t="inlineStr">
        <is>
          <t>EA</t>
        </is>
      </c>
      <c r="F183" s="170" t="n">
        <v>32</v>
      </c>
      <c r="G183" s="168" t="inlineStr">
        <is>
          <t>2(4)+4(4)+5(4)+...(8회로)</t>
        </is>
      </c>
      <c r="H183" s="167" t="inlineStr"/>
    </row>
    <row r="184">
      <c r="A184" s="167" t="inlineStr"/>
      <c r="B184" s="167" t="inlineStr">
        <is>
          <t>ACC</t>
        </is>
      </c>
      <c r="C184" s="168" t="inlineStr">
        <is>
          <t>부싱</t>
        </is>
      </c>
      <c r="D184" s="168" t="inlineStr">
        <is>
          <t>16mm</t>
        </is>
      </c>
      <c r="E184" s="167" t="inlineStr">
        <is>
          <t>EA</t>
        </is>
      </c>
      <c r="F184" s="170" t="n">
        <v>10</v>
      </c>
      <c r="G184" s="168" t="inlineStr">
        <is>
          <t>22(2)+23(2)+24(2)+48(2)+49(2)</t>
        </is>
      </c>
      <c r="H184" s="167" t="inlineStr"/>
    </row>
    <row r="185">
      <c r="A185" s="167" t="inlineStr"/>
      <c r="B185" s="167" t="inlineStr">
        <is>
          <t>ACC</t>
        </is>
      </c>
      <c r="C185" s="168" t="inlineStr">
        <is>
          <t>부싱</t>
        </is>
      </c>
      <c r="D185" s="168" t="inlineStr">
        <is>
          <t>22mm</t>
        </is>
      </c>
      <c r="E185" s="167" t="inlineStr">
        <is>
          <t>EA</t>
        </is>
      </c>
      <c r="F185" s="170" t="n">
        <v>16</v>
      </c>
      <c r="G185" s="168" t="inlineStr">
        <is>
          <t>2(2)+4(2)+5(2)+...(8회로)</t>
        </is>
      </c>
      <c r="H185" s="167" t="inlineStr"/>
    </row>
    <row r="186">
      <c r="A186" s="167" t="inlineStr"/>
      <c r="B186" s="167" t="inlineStr">
        <is>
          <t>ACC</t>
        </is>
      </c>
      <c r="C186" s="168" t="inlineStr">
        <is>
          <t>새들</t>
        </is>
      </c>
      <c r="D186" s="168" t="inlineStr">
        <is>
          <t>16mm</t>
        </is>
      </c>
      <c r="E186" s="167" t="inlineStr">
        <is>
          <t>EA</t>
        </is>
      </c>
      <c r="F186" s="170" t="n">
        <v>58</v>
      </c>
      <c r="G186" s="168" t="inlineStr">
        <is>
          <t>22(11)+23(12)+24(12)+48(11)+49(12)</t>
        </is>
      </c>
      <c r="H186" s="167" t="inlineStr"/>
    </row>
    <row r="187">
      <c r="A187" s="167" t="inlineStr"/>
      <c r="B187" s="167" t="inlineStr">
        <is>
          <t>ACC</t>
        </is>
      </c>
      <c r="C187" s="168" t="inlineStr">
        <is>
          <t>새들</t>
        </is>
      </c>
      <c r="D187" s="168" t="inlineStr">
        <is>
          <t>22mm</t>
        </is>
      </c>
      <c r="E187" s="167" t="inlineStr">
        <is>
          <t>EA</t>
        </is>
      </c>
      <c r="F187" s="170" t="n">
        <v>212</v>
      </c>
      <c r="G187" s="168" t="inlineStr">
        <is>
          <t>2(33)+4(33)+5(33)+...(8회로)</t>
        </is>
      </c>
      <c r="H187" s="167" t="inlineStr"/>
    </row>
    <row r="188">
      <c r="A188" s="167" t="inlineStr"/>
      <c r="B188" s="167" t="inlineStr">
        <is>
          <t>ACC</t>
        </is>
      </c>
      <c r="C188" s="168" t="inlineStr">
        <is>
          <t>커넥터</t>
        </is>
      </c>
      <c r="D188" s="168" t="inlineStr">
        <is>
          <t>16mm</t>
        </is>
      </c>
      <c r="E188" s="167" t="inlineStr">
        <is>
          <t>EA</t>
        </is>
      </c>
      <c r="F188" s="170" t="n">
        <v>10</v>
      </c>
      <c r="G188" s="168" t="inlineStr">
        <is>
          <t>22(2)+23(2)+24(2)+48(2)+49(2)</t>
        </is>
      </c>
      <c r="H188" s="167" t="inlineStr"/>
    </row>
    <row r="189">
      <c r="A189" s="167" t="inlineStr"/>
      <c r="B189" s="167" t="inlineStr">
        <is>
          <t>ACC</t>
        </is>
      </c>
      <c r="C189" s="168" t="inlineStr">
        <is>
          <t>커넥터</t>
        </is>
      </c>
      <c r="D189" s="168" t="inlineStr">
        <is>
          <t>22mm</t>
        </is>
      </c>
      <c r="E189" s="167" t="inlineStr">
        <is>
          <t>EA</t>
        </is>
      </c>
      <c r="F189" s="170" t="n">
        <v>16</v>
      </c>
      <c r="G189" s="168" t="inlineStr">
        <is>
          <t>2(2)+4(2)+5(2)+...(8회로)</t>
        </is>
      </c>
      <c r="H189" s="167" t="inlineStr"/>
    </row>
    <row r="190">
      <c r="A190" s="167" t="inlineStr"/>
      <c r="B190" s="167" t="inlineStr">
        <is>
          <t>ACC</t>
        </is>
      </c>
      <c r="C190" s="168" t="inlineStr">
        <is>
          <t>커플링</t>
        </is>
      </c>
      <c r="D190" s="168" t="inlineStr">
        <is>
          <t>16mm</t>
        </is>
      </c>
      <c r="E190" s="167" t="inlineStr">
        <is>
          <t>EA</t>
        </is>
      </c>
      <c r="F190" s="170" t="n">
        <v>25</v>
      </c>
      <c r="G190" s="168" t="inlineStr">
        <is>
          <t>22(5)+23(5)+24(5)+48(5)+49(5)</t>
        </is>
      </c>
      <c r="H190" s="167" t="inlineStr"/>
    </row>
    <row r="191">
      <c r="A191" s="167" t="inlineStr"/>
      <c r="B191" s="167" t="inlineStr">
        <is>
          <t>ACC</t>
        </is>
      </c>
      <c r="C191" s="168" t="inlineStr">
        <is>
          <t>커플링</t>
        </is>
      </c>
      <c r="D191" s="168" t="inlineStr">
        <is>
          <t>22mm</t>
        </is>
      </c>
      <c r="E191" s="167" t="inlineStr">
        <is>
          <t>EA</t>
        </is>
      </c>
      <c r="F191" s="170" t="n">
        <v>90</v>
      </c>
      <c r="G191" s="168" t="inlineStr">
        <is>
          <t>2(14)+4(14)+5(14)+...(8회로)</t>
        </is>
      </c>
      <c r="H191" s="167" t="inlineStr"/>
    </row>
    <row r="192">
      <c r="A192" s="167" t="inlineStr"/>
      <c r="B192" s="167" t="inlineStr">
        <is>
          <t>SUP</t>
        </is>
      </c>
      <c r="C192" s="168" t="inlineStr">
        <is>
          <t>유크램프</t>
        </is>
      </c>
      <c r="D192" s="168" t="inlineStr">
        <is>
          <t>공용</t>
        </is>
      </c>
      <c r="E192" s="167" t="inlineStr">
        <is>
          <t>EA</t>
        </is>
      </c>
      <c r="F192" s="170" t="n">
        <v>267</v>
      </c>
      <c r="G192" s="168" t="inlineStr">
        <is>
          <t>공정전체(267)</t>
        </is>
      </c>
      <c r="H192" s="167" t="inlineStr"/>
    </row>
    <row r="193">
      <c r="A193" s="167" t="inlineStr"/>
      <c r="B193" s="167" t="inlineStr">
        <is>
          <t>SUP</t>
        </is>
      </c>
      <c r="C193" s="168" t="inlineStr">
        <is>
          <t>전산볼트 M10 × 1m</t>
        </is>
      </c>
      <c r="D193" s="168" t="inlineStr">
        <is>
          <t>M10</t>
        </is>
      </c>
      <c r="E193" s="167" t="inlineStr">
        <is>
          <t>EA</t>
        </is>
      </c>
      <c r="F193" s="170" t="n">
        <v>267</v>
      </c>
      <c r="G193" s="168" t="inlineStr">
        <is>
          <t>공정전체(267)</t>
        </is>
      </c>
      <c r="H193" s="167" t="inlineStr"/>
    </row>
    <row r="194">
      <c r="A194" s="167" t="inlineStr"/>
      <c r="B194" s="167" t="inlineStr">
        <is>
          <t>CMN</t>
        </is>
      </c>
      <c r="C194" s="168" t="inlineStr">
        <is>
          <t>PVC 테이프</t>
        </is>
      </c>
      <c r="D194" s="168" t="inlineStr">
        <is>
          <t>19mm</t>
        </is>
      </c>
      <c r="E194" s="167" t="inlineStr">
        <is>
          <t>롤</t>
        </is>
      </c>
      <c r="F194" s="170" t="n">
        <v>3</v>
      </c>
      <c r="G194" s="168" t="inlineStr">
        <is>
          <t>공정전체(3)</t>
        </is>
      </c>
      <c r="H194" s="167" t="inlineStr"/>
    </row>
    <row r="195">
      <c r="A195" s="167" t="inlineStr"/>
      <c r="B195" s="167" t="inlineStr">
        <is>
          <t>CMN</t>
        </is>
      </c>
      <c r="C195" s="168" t="inlineStr">
        <is>
          <t>아울렛 박스 (4각)</t>
        </is>
      </c>
      <c r="D195" s="168" t="inlineStr">
        <is>
          <t>4각</t>
        </is>
      </c>
      <c r="E195" s="167" t="inlineStr">
        <is>
          <t>EA</t>
        </is>
      </c>
      <c r="F195" s="170" t="n">
        <v>26</v>
      </c>
      <c r="G195" s="168" t="inlineStr">
        <is>
          <t>공정전체(26)</t>
        </is>
      </c>
      <c r="H195" s="167" t="inlineStr"/>
    </row>
    <row r="196">
      <c r="A196" s="167" t="inlineStr"/>
      <c r="B196" s="167" t="inlineStr">
        <is>
          <t>CMN</t>
        </is>
      </c>
      <c r="C196" s="168" t="inlineStr">
        <is>
          <t>와이어 커넥터</t>
        </is>
      </c>
      <c r="D196" s="168" t="inlineStr">
        <is>
          <t>중</t>
        </is>
      </c>
      <c r="E196" s="167" t="inlineStr">
        <is>
          <t>셋</t>
        </is>
      </c>
      <c r="F196" s="170" t="n">
        <v>78</v>
      </c>
      <c r="G196" s="168" t="inlineStr">
        <is>
          <t>공정전체(78)</t>
        </is>
      </c>
      <c r="H196" s="167" t="inlineStr"/>
    </row>
    <row r="197">
      <c r="A197" s="167" t="inlineStr"/>
      <c r="B197" s="167" t="inlineStr">
        <is>
          <t>CMN</t>
        </is>
      </c>
      <c r="C197" s="168" t="inlineStr">
        <is>
          <t>풀박스</t>
        </is>
      </c>
      <c r="D197" s="168" t="inlineStr">
        <is>
          <t>200×200</t>
        </is>
      </c>
      <c r="E197" s="167" t="inlineStr">
        <is>
          <t>EA</t>
        </is>
      </c>
      <c r="F197" s="170" t="n">
        <v>13</v>
      </c>
      <c r="G197" s="168" t="inlineStr">
        <is>
          <t>공정전체(13)</t>
        </is>
      </c>
      <c r="H197" s="167" t="inlineStr"/>
    </row>
    <row r="199" ht="14.25" customHeight="1" s="78">
      <c r="A199" s="156" t="inlineStr">
        <is>
          <t>3. 1F 주방동력공사</t>
        </is>
      </c>
      <c r="B199" s="174" t="n"/>
      <c r="C199" s="174" t="n"/>
      <c r="D199" s="174" t="n"/>
      <c r="E199" s="174" t="n"/>
      <c r="F199" s="174" t="n"/>
      <c r="G199" s="174" t="n"/>
      <c r="H199" s="175" t="n"/>
    </row>
    <row r="200" ht="14.25" customHeight="1" s="78">
      <c r="A200" s="158" t="inlineStr">
        <is>
          <t xml:space="preserve">  [6] K17 (DISH WASHER)</t>
        </is>
      </c>
      <c r="B200" s="174" t="n"/>
      <c r="C200" s="174" t="n"/>
      <c r="D200" s="174" t="n"/>
      <c r="E200" s="174" t="n"/>
      <c r="F200" s="174" t="n"/>
      <c r="G200" s="174" t="n"/>
      <c r="H200" s="175" t="n"/>
    </row>
    <row r="201">
      <c r="A201" s="148" t="n">
        <v>1</v>
      </c>
      <c r="B201" s="148" t="inlineStr">
        <is>
          <t>MAT</t>
        </is>
      </c>
      <c r="C201" s="149" t="inlineStr">
        <is>
          <t>강제전선관 (ST)</t>
        </is>
      </c>
      <c r="D201" s="149" t="inlineStr">
        <is>
          <t>36mm</t>
        </is>
      </c>
      <c r="E201" s="148" t="inlineStr">
        <is>
          <t>m</t>
        </is>
      </c>
      <c r="F201" s="160" t="n">
        <v>13</v>
      </c>
      <c r="G201" s="149" t="inlineStr">
        <is>
          <t>길이산출 13.0m</t>
        </is>
      </c>
      <c r="H201" s="148" t="inlineStr">
        <is>
          <t>◆</t>
        </is>
      </c>
    </row>
    <row r="202">
      <c r="A202" s="148" t="n">
        <v>2</v>
      </c>
      <c r="B202" s="148" t="inlineStr">
        <is>
          <t>MAT</t>
        </is>
      </c>
      <c r="C202" s="149" t="inlineStr">
        <is>
          <t>F-CV 0.6/1kV</t>
        </is>
      </c>
      <c r="D202" s="149" t="inlineStr">
        <is>
          <t>6㎟ 4C</t>
        </is>
      </c>
      <c r="E202" s="148" t="inlineStr">
        <is>
          <t>m</t>
        </is>
      </c>
      <c r="F202" s="160" t="n">
        <v>52</v>
      </c>
      <c r="G202" s="149" t="inlineStr">
        <is>
          <t>배관13.0m×가닥수</t>
        </is>
      </c>
      <c r="H202" s="148" t="inlineStr">
        <is>
          <t>◆</t>
        </is>
      </c>
    </row>
    <row r="203">
      <c r="A203" s="161" t="inlineStr"/>
      <c r="B203" s="161" t="inlineStr">
        <is>
          <t>ACC</t>
        </is>
      </c>
      <c r="C203" s="162" t="inlineStr">
        <is>
          <t xml:space="preserve">  ↳ 커플링</t>
        </is>
      </c>
      <c r="D203" s="162" t="inlineStr">
        <is>
          <t>36mm</t>
        </is>
      </c>
      <c r="E203" s="161" t="inlineStr">
        <is>
          <t>EA</t>
        </is>
      </c>
      <c r="F203" s="163" t="n">
        <v>4</v>
      </c>
      <c r="G203" s="162" t="inlineStr">
        <is>
          <t>13.0m÷3.6</t>
        </is>
      </c>
      <c r="H203" s="161" t="inlineStr">
        <is>
          <t>◆</t>
        </is>
      </c>
    </row>
    <row r="204">
      <c r="A204" s="161" t="inlineStr"/>
      <c r="B204" s="161" t="inlineStr">
        <is>
          <t>ACC</t>
        </is>
      </c>
      <c r="C204" s="162" t="inlineStr">
        <is>
          <t xml:space="preserve">  ↳ 커넥터</t>
        </is>
      </c>
      <c r="D204" s="162" t="inlineStr">
        <is>
          <t>36mm</t>
        </is>
      </c>
      <c r="E204" s="161" t="inlineStr">
        <is>
          <t>EA</t>
        </is>
      </c>
      <c r="F204" s="163" t="n">
        <v>2</v>
      </c>
      <c r="G204" s="162" t="inlineStr">
        <is>
          <t>양단 2개</t>
        </is>
      </c>
      <c r="H204" s="161" t="inlineStr">
        <is>
          <t>◆</t>
        </is>
      </c>
    </row>
    <row r="205">
      <c r="A205" s="161" t="inlineStr"/>
      <c r="B205" s="161" t="inlineStr">
        <is>
          <t>ACC</t>
        </is>
      </c>
      <c r="C205" s="162" t="inlineStr">
        <is>
          <t xml:space="preserve">  ↳ 부싱</t>
        </is>
      </c>
      <c r="D205" s="162" t="inlineStr">
        <is>
          <t>36mm</t>
        </is>
      </c>
      <c r="E205" s="161" t="inlineStr">
        <is>
          <t>EA</t>
        </is>
      </c>
      <c r="F205" s="163" t="n">
        <v>2</v>
      </c>
      <c r="G205" s="162">
        <f>커넥터수</f>
        <v/>
      </c>
      <c r="H205" s="161" t="inlineStr">
        <is>
          <t>◆</t>
        </is>
      </c>
    </row>
    <row r="206">
      <c r="A206" s="161" t="inlineStr"/>
      <c r="B206" s="161" t="inlineStr">
        <is>
          <t>ACC</t>
        </is>
      </c>
      <c r="C206" s="162" t="inlineStr">
        <is>
          <t xml:space="preserve">  ↳ 로크너트</t>
        </is>
      </c>
      <c r="D206" s="162" t="inlineStr">
        <is>
          <t>36mm</t>
        </is>
      </c>
      <c r="E206" s="161" t="inlineStr">
        <is>
          <t>EA</t>
        </is>
      </c>
      <c r="F206" s="163" t="n">
        <v>4</v>
      </c>
      <c r="G206" s="162">
        <f>커넥터×2</f>
        <v/>
      </c>
      <c r="H206" s="161" t="inlineStr">
        <is>
          <t>◆</t>
        </is>
      </c>
    </row>
    <row r="207">
      <c r="A207" s="161" t="inlineStr"/>
      <c r="B207" s="161" t="inlineStr">
        <is>
          <t>ACC</t>
        </is>
      </c>
      <c r="C207" s="162" t="inlineStr">
        <is>
          <t xml:space="preserve">  ↳ 새들</t>
        </is>
      </c>
      <c r="D207" s="162" t="inlineStr">
        <is>
          <t>36mm</t>
        </is>
      </c>
      <c r="E207" s="161" t="inlineStr">
        <is>
          <t>EA</t>
        </is>
      </c>
      <c r="F207" s="163" t="n">
        <v>9</v>
      </c>
      <c r="G207" s="162" t="inlineStr">
        <is>
          <t>13.0m÷1.5</t>
        </is>
      </c>
      <c r="H207" s="161" t="inlineStr">
        <is>
          <t>◆</t>
        </is>
      </c>
    </row>
    <row r="208" ht="14.25" customHeight="1" s="78">
      <c r="A208" s="158" t="inlineStr">
        <is>
          <t xml:space="preserve">  [8] K1 (TEMP COOLER)</t>
        </is>
      </c>
      <c r="B208" s="174" t="n"/>
      <c r="C208" s="174" t="n"/>
      <c r="D208" s="174" t="n"/>
      <c r="E208" s="174" t="n"/>
      <c r="F208" s="174" t="n"/>
      <c r="G208" s="174" t="n"/>
      <c r="H208" s="175" t="n"/>
    </row>
    <row r="209">
      <c r="A209" s="148" t="n">
        <v>1</v>
      </c>
      <c r="B209" s="148" t="inlineStr">
        <is>
          <t>MAT</t>
        </is>
      </c>
      <c r="C209" s="149" t="inlineStr">
        <is>
          <t>강제전선관 (ST)</t>
        </is>
      </c>
      <c r="D209" s="149" t="inlineStr">
        <is>
          <t>28mm</t>
        </is>
      </c>
      <c r="E209" s="148" t="inlineStr">
        <is>
          <t>m</t>
        </is>
      </c>
      <c r="F209" s="160" t="n">
        <v>13</v>
      </c>
      <c r="G209" s="149" t="inlineStr">
        <is>
          <t>길이산출 13.0m</t>
        </is>
      </c>
      <c r="H209" s="148" t="inlineStr">
        <is>
          <t>◆</t>
        </is>
      </c>
    </row>
    <row r="210">
      <c r="A210" s="148" t="n">
        <v>2</v>
      </c>
      <c r="B210" s="148" t="inlineStr">
        <is>
          <t>MAT</t>
        </is>
      </c>
      <c r="C210" s="149" t="inlineStr">
        <is>
          <t>F-CV 0.6/1kV</t>
        </is>
      </c>
      <c r="D210" s="149" t="inlineStr">
        <is>
          <t>4㎟ 3C</t>
        </is>
      </c>
      <c r="E210" s="148" t="inlineStr">
        <is>
          <t>m</t>
        </is>
      </c>
      <c r="F210" s="160" t="n">
        <v>39</v>
      </c>
      <c r="G210" s="149" t="inlineStr">
        <is>
          <t>배관13.0m×가닥수</t>
        </is>
      </c>
      <c r="H210" s="148" t="inlineStr">
        <is>
          <t>◆</t>
        </is>
      </c>
    </row>
    <row r="211">
      <c r="A211" s="161" t="inlineStr"/>
      <c r="B211" s="161" t="inlineStr">
        <is>
          <t>ACC</t>
        </is>
      </c>
      <c r="C211" s="162" t="inlineStr">
        <is>
          <t xml:space="preserve">  ↳ 커플링</t>
        </is>
      </c>
      <c r="D211" s="162" t="inlineStr">
        <is>
          <t>28mm</t>
        </is>
      </c>
      <c r="E211" s="161" t="inlineStr">
        <is>
          <t>EA</t>
        </is>
      </c>
      <c r="F211" s="163" t="n">
        <v>4</v>
      </c>
      <c r="G211" s="162" t="inlineStr">
        <is>
          <t>13.0m÷3.6</t>
        </is>
      </c>
      <c r="H211" s="161" t="inlineStr">
        <is>
          <t>◆</t>
        </is>
      </c>
    </row>
    <row r="212">
      <c r="A212" s="161" t="inlineStr"/>
      <c r="B212" s="161" t="inlineStr">
        <is>
          <t>ACC</t>
        </is>
      </c>
      <c r="C212" s="162" t="inlineStr">
        <is>
          <t xml:space="preserve">  ↳ 커넥터</t>
        </is>
      </c>
      <c r="D212" s="162" t="inlineStr">
        <is>
          <t>28mm</t>
        </is>
      </c>
      <c r="E212" s="161" t="inlineStr">
        <is>
          <t>EA</t>
        </is>
      </c>
      <c r="F212" s="163" t="n">
        <v>2</v>
      </c>
      <c r="G212" s="162" t="inlineStr">
        <is>
          <t>양단 2개</t>
        </is>
      </c>
      <c r="H212" s="161" t="inlineStr">
        <is>
          <t>◆</t>
        </is>
      </c>
    </row>
    <row r="213">
      <c r="A213" s="161" t="inlineStr"/>
      <c r="B213" s="161" t="inlineStr">
        <is>
          <t>ACC</t>
        </is>
      </c>
      <c r="C213" s="162" t="inlineStr">
        <is>
          <t xml:space="preserve">  ↳ 부싱</t>
        </is>
      </c>
      <c r="D213" s="162" t="inlineStr">
        <is>
          <t>28mm</t>
        </is>
      </c>
      <c r="E213" s="161" t="inlineStr">
        <is>
          <t>EA</t>
        </is>
      </c>
      <c r="F213" s="163" t="n">
        <v>2</v>
      </c>
      <c r="G213" s="162">
        <f>커넥터수</f>
        <v/>
      </c>
      <c r="H213" s="161" t="inlineStr">
        <is>
          <t>◆</t>
        </is>
      </c>
    </row>
    <row r="214">
      <c r="A214" s="161" t="inlineStr"/>
      <c r="B214" s="161" t="inlineStr">
        <is>
          <t>ACC</t>
        </is>
      </c>
      <c r="C214" s="162" t="inlineStr">
        <is>
          <t xml:space="preserve">  ↳ 로크너트</t>
        </is>
      </c>
      <c r="D214" s="162" t="inlineStr">
        <is>
          <t>28mm</t>
        </is>
      </c>
      <c r="E214" s="161" t="inlineStr">
        <is>
          <t>EA</t>
        </is>
      </c>
      <c r="F214" s="163" t="n">
        <v>4</v>
      </c>
      <c r="G214" s="162">
        <f>커넥터×2</f>
        <v/>
      </c>
      <c r="H214" s="161" t="inlineStr">
        <is>
          <t>◆</t>
        </is>
      </c>
    </row>
    <row r="215">
      <c r="A215" s="161" t="inlineStr"/>
      <c r="B215" s="161" t="inlineStr">
        <is>
          <t>ACC</t>
        </is>
      </c>
      <c r="C215" s="162" t="inlineStr">
        <is>
          <t xml:space="preserve">  ↳ 새들</t>
        </is>
      </c>
      <c r="D215" s="162" t="inlineStr">
        <is>
          <t>28mm</t>
        </is>
      </c>
      <c r="E215" s="161" t="inlineStr">
        <is>
          <t>EA</t>
        </is>
      </c>
      <c r="F215" s="163" t="n">
        <v>9</v>
      </c>
      <c r="G215" s="162" t="inlineStr">
        <is>
          <t>13.0m÷1.5</t>
        </is>
      </c>
      <c r="H215" s="161" t="inlineStr">
        <is>
          <t>◆</t>
        </is>
      </c>
    </row>
    <row r="216" ht="14.25" customHeight="1" s="78">
      <c r="A216" s="158" t="inlineStr">
        <is>
          <t xml:space="preserve">  [9] K3 (CRESCENT ICE MACHINE)</t>
        </is>
      </c>
      <c r="B216" s="174" t="n"/>
      <c r="C216" s="174" t="n"/>
      <c r="D216" s="174" t="n"/>
      <c r="E216" s="174" t="n"/>
      <c r="F216" s="174" t="n"/>
      <c r="G216" s="174" t="n"/>
      <c r="H216" s="175" t="n"/>
    </row>
    <row r="217">
      <c r="A217" s="148" t="n">
        <v>1</v>
      </c>
      <c r="B217" s="148" t="inlineStr">
        <is>
          <t>MAT</t>
        </is>
      </c>
      <c r="C217" s="149" t="inlineStr">
        <is>
          <t>강제전선관 (ST)</t>
        </is>
      </c>
      <c r="D217" s="149" t="inlineStr">
        <is>
          <t>28mm</t>
        </is>
      </c>
      <c r="E217" s="148" t="inlineStr">
        <is>
          <t>m</t>
        </is>
      </c>
      <c r="F217" s="160" t="n">
        <v>13</v>
      </c>
      <c r="G217" s="149" t="inlineStr">
        <is>
          <t>길이산출 13.0m</t>
        </is>
      </c>
      <c r="H217" s="148" t="inlineStr">
        <is>
          <t>◆</t>
        </is>
      </c>
    </row>
    <row r="218">
      <c r="A218" s="148" t="n">
        <v>2</v>
      </c>
      <c r="B218" s="148" t="inlineStr">
        <is>
          <t>MAT</t>
        </is>
      </c>
      <c r="C218" s="149" t="inlineStr">
        <is>
          <t>F-CV 0.6/1kV</t>
        </is>
      </c>
      <c r="D218" s="149" t="inlineStr">
        <is>
          <t>4㎟ 3C</t>
        </is>
      </c>
      <c r="E218" s="148" t="inlineStr">
        <is>
          <t>m</t>
        </is>
      </c>
      <c r="F218" s="160" t="n">
        <v>39</v>
      </c>
      <c r="G218" s="149" t="inlineStr">
        <is>
          <t>배관13.0m×가닥수</t>
        </is>
      </c>
      <c r="H218" s="148" t="inlineStr">
        <is>
          <t>◆</t>
        </is>
      </c>
    </row>
    <row r="219">
      <c r="A219" s="161" t="inlineStr"/>
      <c r="B219" s="161" t="inlineStr">
        <is>
          <t>ACC</t>
        </is>
      </c>
      <c r="C219" s="162" t="inlineStr">
        <is>
          <t xml:space="preserve">  ↳ 커플링</t>
        </is>
      </c>
      <c r="D219" s="162" t="inlineStr">
        <is>
          <t>28mm</t>
        </is>
      </c>
      <c r="E219" s="161" t="inlineStr">
        <is>
          <t>EA</t>
        </is>
      </c>
      <c r="F219" s="163" t="n">
        <v>4</v>
      </c>
      <c r="G219" s="162" t="inlineStr">
        <is>
          <t>13.0m÷3.6</t>
        </is>
      </c>
      <c r="H219" s="161" t="inlineStr">
        <is>
          <t>◆</t>
        </is>
      </c>
    </row>
    <row r="220">
      <c r="A220" s="161" t="inlineStr"/>
      <c r="B220" s="161" t="inlineStr">
        <is>
          <t>ACC</t>
        </is>
      </c>
      <c r="C220" s="162" t="inlineStr">
        <is>
          <t xml:space="preserve">  ↳ 커넥터</t>
        </is>
      </c>
      <c r="D220" s="162" t="inlineStr">
        <is>
          <t>28mm</t>
        </is>
      </c>
      <c r="E220" s="161" t="inlineStr">
        <is>
          <t>EA</t>
        </is>
      </c>
      <c r="F220" s="163" t="n">
        <v>2</v>
      </c>
      <c r="G220" s="162" t="inlineStr">
        <is>
          <t>양단 2개</t>
        </is>
      </c>
      <c r="H220" s="161" t="inlineStr">
        <is>
          <t>◆</t>
        </is>
      </c>
    </row>
    <row r="221">
      <c r="A221" s="161" t="inlineStr"/>
      <c r="B221" s="161" t="inlineStr">
        <is>
          <t>ACC</t>
        </is>
      </c>
      <c r="C221" s="162" t="inlineStr">
        <is>
          <t xml:space="preserve">  ↳ 부싱</t>
        </is>
      </c>
      <c r="D221" s="162" t="inlineStr">
        <is>
          <t>28mm</t>
        </is>
      </c>
      <c r="E221" s="161" t="inlineStr">
        <is>
          <t>EA</t>
        </is>
      </c>
      <c r="F221" s="163" t="n">
        <v>2</v>
      </c>
      <c r="G221" s="162">
        <f>커넥터수</f>
        <v/>
      </c>
      <c r="H221" s="161" t="inlineStr">
        <is>
          <t>◆</t>
        </is>
      </c>
    </row>
    <row r="222">
      <c r="A222" s="161" t="inlineStr"/>
      <c r="B222" s="161" t="inlineStr">
        <is>
          <t>ACC</t>
        </is>
      </c>
      <c r="C222" s="162" t="inlineStr">
        <is>
          <t xml:space="preserve">  ↳ 로크너트</t>
        </is>
      </c>
      <c r="D222" s="162" t="inlineStr">
        <is>
          <t>28mm</t>
        </is>
      </c>
      <c r="E222" s="161" t="inlineStr">
        <is>
          <t>EA</t>
        </is>
      </c>
      <c r="F222" s="163" t="n">
        <v>4</v>
      </c>
      <c r="G222" s="162">
        <f>커넥터×2</f>
        <v/>
      </c>
      <c r="H222" s="161" t="inlineStr">
        <is>
          <t>◆</t>
        </is>
      </c>
    </row>
    <row r="223">
      <c r="A223" s="161" t="inlineStr"/>
      <c r="B223" s="161" t="inlineStr">
        <is>
          <t>ACC</t>
        </is>
      </c>
      <c r="C223" s="162" t="inlineStr">
        <is>
          <t xml:space="preserve">  ↳ 새들</t>
        </is>
      </c>
      <c r="D223" s="162" t="inlineStr">
        <is>
          <t>28mm</t>
        </is>
      </c>
      <c r="E223" s="161" t="inlineStr">
        <is>
          <t>EA</t>
        </is>
      </c>
      <c r="F223" s="163" t="n">
        <v>9</v>
      </c>
      <c r="G223" s="162" t="inlineStr">
        <is>
          <t>13.0m÷1.5</t>
        </is>
      </c>
      <c r="H223" s="161" t="inlineStr">
        <is>
          <t>◆</t>
        </is>
      </c>
    </row>
    <row r="224" ht="14.25" customHeight="1" s="78">
      <c r="A224" s="158" t="inlineStr">
        <is>
          <t xml:space="preserve">  [10] K5 (CHEF BASE/GAS GRIDDLE × 3)</t>
        </is>
      </c>
      <c r="B224" s="174" t="n"/>
      <c r="C224" s="174" t="n"/>
      <c r="D224" s="174" t="n"/>
      <c r="E224" s="174" t="n"/>
      <c r="F224" s="174" t="n"/>
      <c r="G224" s="174" t="n"/>
      <c r="H224" s="175" t="n"/>
    </row>
    <row r="225">
      <c r="A225" s="148" t="n">
        <v>1</v>
      </c>
      <c r="B225" s="148" t="inlineStr">
        <is>
          <t>MAT</t>
        </is>
      </c>
      <c r="C225" s="149" t="inlineStr">
        <is>
          <t>강제전선관 (ST)</t>
        </is>
      </c>
      <c r="D225" s="149" t="inlineStr">
        <is>
          <t>28mm</t>
        </is>
      </c>
      <c r="E225" s="148" t="inlineStr">
        <is>
          <t>m</t>
        </is>
      </c>
      <c r="F225" s="160" t="n">
        <v>13</v>
      </c>
      <c r="G225" s="149" t="inlineStr">
        <is>
          <t>길이산출 13.0m</t>
        </is>
      </c>
      <c r="H225" s="148" t="inlineStr">
        <is>
          <t>◆</t>
        </is>
      </c>
    </row>
    <row r="226">
      <c r="A226" s="148" t="n">
        <v>2</v>
      </c>
      <c r="B226" s="148" t="inlineStr">
        <is>
          <t>MAT</t>
        </is>
      </c>
      <c r="C226" s="149" t="inlineStr">
        <is>
          <t>F-CV 0.6/1kV</t>
        </is>
      </c>
      <c r="D226" s="149" t="inlineStr">
        <is>
          <t>4㎟ 3C</t>
        </is>
      </c>
      <c r="E226" s="148" t="inlineStr">
        <is>
          <t>m</t>
        </is>
      </c>
      <c r="F226" s="160" t="n">
        <v>39</v>
      </c>
      <c r="G226" s="149" t="inlineStr">
        <is>
          <t>배관13.0m×가닥수</t>
        </is>
      </c>
      <c r="H226" s="148" t="inlineStr">
        <is>
          <t>◆</t>
        </is>
      </c>
    </row>
    <row r="227">
      <c r="A227" s="161" t="inlineStr"/>
      <c r="B227" s="161" t="inlineStr">
        <is>
          <t>ACC</t>
        </is>
      </c>
      <c r="C227" s="162" t="inlineStr">
        <is>
          <t xml:space="preserve">  ↳ 커플링</t>
        </is>
      </c>
      <c r="D227" s="162" t="inlineStr">
        <is>
          <t>28mm</t>
        </is>
      </c>
      <c r="E227" s="161" t="inlineStr">
        <is>
          <t>EA</t>
        </is>
      </c>
      <c r="F227" s="163" t="n">
        <v>4</v>
      </c>
      <c r="G227" s="162" t="inlineStr">
        <is>
          <t>13.0m÷3.6</t>
        </is>
      </c>
      <c r="H227" s="161" t="inlineStr">
        <is>
          <t>◆</t>
        </is>
      </c>
    </row>
    <row r="228">
      <c r="A228" s="161" t="inlineStr"/>
      <c r="B228" s="161" t="inlineStr">
        <is>
          <t>ACC</t>
        </is>
      </c>
      <c r="C228" s="162" t="inlineStr">
        <is>
          <t xml:space="preserve">  ↳ 커넥터</t>
        </is>
      </c>
      <c r="D228" s="162" t="inlineStr">
        <is>
          <t>28mm</t>
        </is>
      </c>
      <c r="E228" s="161" t="inlineStr">
        <is>
          <t>EA</t>
        </is>
      </c>
      <c r="F228" s="163" t="n">
        <v>2</v>
      </c>
      <c r="G228" s="162" t="inlineStr">
        <is>
          <t>양단 2개</t>
        </is>
      </c>
      <c r="H228" s="161" t="inlineStr">
        <is>
          <t>◆</t>
        </is>
      </c>
    </row>
    <row r="229">
      <c r="A229" s="161" t="inlineStr"/>
      <c r="B229" s="161" t="inlineStr">
        <is>
          <t>ACC</t>
        </is>
      </c>
      <c r="C229" s="162" t="inlineStr">
        <is>
          <t xml:space="preserve">  ↳ 부싱</t>
        </is>
      </c>
      <c r="D229" s="162" t="inlineStr">
        <is>
          <t>28mm</t>
        </is>
      </c>
      <c r="E229" s="161" t="inlineStr">
        <is>
          <t>EA</t>
        </is>
      </c>
      <c r="F229" s="163" t="n">
        <v>2</v>
      </c>
      <c r="G229" s="162">
        <f>커넥터수</f>
        <v/>
      </c>
      <c r="H229" s="161" t="inlineStr">
        <is>
          <t>◆</t>
        </is>
      </c>
    </row>
    <row r="230">
      <c r="A230" s="161" t="inlineStr"/>
      <c r="B230" s="161" t="inlineStr">
        <is>
          <t>ACC</t>
        </is>
      </c>
      <c r="C230" s="162" t="inlineStr">
        <is>
          <t xml:space="preserve">  ↳ 로크너트</t>
        </is>
      </c>
      <c r="D230" s="162" t="inlineStr">
        <is>
          <t>28mm</t>
        </is>
      </c>
      <c r="E230" s="161" t="inlineStr">
        <is>
          <t>EA</t>
        </is>
      </c>
      <c r="F230" s="163" t="n">
        <v>4</v>
      </c>
      <c r="G230" s="162">
        <f>커넥터×2</f>
        <v/>
      </c>
      <c r="H230" s="161" t="inlineStr">
        <is>
          <t>◆</t>
        </is>
      </c>
    </row>
    <row r="231">
      <c r="A231" s="161" t="inlineStr"/>
      <c r="B231" s="161" t="inlineStr">
        <is>
          <t>ACC</t>
        </is>
      </c>
      <c r="C231" s="162" t="inlineStr">
        <is>
          <t xml:space="preserve">  ↳ 새들</t>
        </is>
      </c>
      <c r="D231" s="162" t="inlineStr">
        <is>
          <t>28mm</t>
        </is>
      </c>
      <c r="E231" s="161" t="inlineStr">
        <is>
          <t>EA</t>
        </is>
      </c>
      <c r="F231" s="163" t="n">
        <v>9</v>
      </c>
      <c r="G231" s="162" t="inlineStr">
        <is>
          <t>13.0m÷1.5</t>
        </is>
      </c>
      <c r="H231" s="161" t="inlineStr">
        <is>
          <t>◆</t>
        </is>
      </c>
    </row>
    <row r="232" ht="14.25" customHeight="1" s="78">
      <c r="A232" s="158" t="inlineStr">
        <is>
          <t xml:space="preserve">  [11] K7 (중탕기)</t>
        </is>
      </c>
      <c r="B232" s="174" t="n"/>
      <c r="C232" s="174" t="n"/>
      <c r="D232" s="174" t="n"/>
      <c r="E232" s="174" t="n"/>
      <c r="F232" s="174" t="n"/>
      <c r="G232" s="174" t="n"/>
      <c r="H232" s="175" t="n"/>
    </row>
    <row r="233">
      <c r="A233" s="148" t="n">
        <v>1</v>
      </c>
      <c r="B233" s="148" t="inlineStr">
        <is>
          <t>MAT</t>
        </is>
      </c>
      <c r="C233" s="149" t="inlineStr">
        <is>
          <t>강제전선관 (ST)</t>
        </is>
      </c>
      <c r="D233" s="149" t="inlineStr">
        <is>
          <t>28mm</t>
        </is>
      </c>
      <c r="E233" s="148" t="inlineStr">
        <is>
          <t>m</t>
        </is>
      </c>
      <c r="F233" s="160" t="n">
        <v>13</v>
      </c>
      <c r="G233" s="149" t="inlineStr">
        <is>
          <t>길이산출 13.0m</t>
        </is>
      </c>
      <c r="H233" s="148" t="inlineStr">
        <is>
          <t>◆</t>
        </is>
      </c>
    </row>
    <row r="234">
      <c r="A234" s="148" t="n">
        <v>2</v>
      </c>
      <c r="B234" s="148" t="inlineStr">
        <is>
          <t>MAT</t>
        </is>
      </c>
      <c r="C234" s="149" t="inlineStr">
        <is>
          <t>F-CV 0.6/1kV</t>
        </is>
      </c>
      <c r="D234" s="149" t="inlineStr">
        <is>
          <t>4㎟ 3C</t>
        </is>
      </c>
      <c r="E234" s="148" t="inlineStr">
        <is>
          <t>m</t>
        </is>
      </c>
      <c r="F234" s="160" t="n">
        <v>39</v>
      </c>
      <c r="G234" s="149" t="inlineStr">
        <is>
          <t>배관13.0m×가닥수</t>
        </is>
      </c>
      <c r="H234" s="148" t="inlineStr">
        <is>
          <t>◆</t>
        </is>
      </c>
    </row>
    <row r="235">
      <c r="A235" s="161" t="inlineStr"/>
      <c r="B235" s="161" t="inlineStr">
        <is>
          <t>ACC</t>
        </is>
      </c>
      <c r="C235" s="162" t="inlineStr">
        <is>
          <t xml:space="preserve">  ↳ 커플링</t>
        </is>
      </c>
      <c r="D235" s="162" t="inlineStr">
        <is>
          <t>28mm</t>
        </is>
      </c>
      <c r="E235" s="161" t="inlineStr">
        <is>
          <t>EA</t>
        </is>
      </c>
      <c r="F235" s="163" t="n">
        <v>4</v>
      </c>
      <c r="G235" s="162" t="inlineStr">
        <is>
          <t>13.0m÷3.6</t>
        </is>
      </c>
      <c r="H235" s="161" t="inlineStr">
        <is>
          <t>◆</t>
        </is>
      </c>
    </row>
    <row r="236">
      <c r="A236" s="161" t="inlineStr"/>
      <c r="B236" s="161" t="inlineStr">
        <is>
          <t>ACC</t>
        </is>
      </c>
      <c r="C236" s="162" t="inlineStr">
        <is>
          <t xml:space="preserve">  ↳ 커넥터</t>
        </is>
      </c>
      <c r="D236" s="162" t="inlineStr">
        <is>
          <t>28mm</t>
        </is>
      </c>
      <c r="E236" s="161" t="inlineStr">
        <is>
          <t>EA</t>
        </is>
      </c>
      <c r="F236" s="163" t="n">
        <v>2</v>
      </c>
      <c r="G236" s="162" t="inlineStr">
        <is>
          <t>양단 2개</t>
        </is>
      </c>
      <c r="H236" s="161" t="inlineStr">
        <is>
          <t>◆</t>
        </is>
      </c>
    </row>
    <row r="237">
      <c r="A237" s="161" t="inlineStr"/>
      <c r="B237" s="161" t="inlineStr">
        <is>
          <t>ACC</t>
        </is>
      </c>
      <c r="C237" s="162" t="inlineStr">
        <is>
          <t xml:space="preserve">  ↳ 부싱</t>
        </is>
      </c>
      <c r="D237" s="162" t="inlineStr">
        <is>
          <t>28mm</t>
        </is>
      </c>
      <c r="E237" s="161" t="inlineStr">
        <is>
          <t>EA</t>
        </is>
      </c>
      <c r="F237" s="163" t="n">
        <v>2</v>
      </c>
      <c r="G237" s="162">
        <f>커넥터수</f>
        <v/>
      </c>
      <c r="H237" s="161" t="inlineStr">
        <is>
          <t>◆</t>
        </is>
      </c>
    </row>
    <row r="238">
      <c r="A238" s="161" t="inlineStr"/>
      <c r="B238" s="161" t="inlineStr">
        <is>
          <t>ACC</t>
        </is>
      </c>
      <c r="C238" s="162" t="inlineStr">
        <is>
          <t xml:space="preserve">  ↳ 로크너트</t>
        </is>
      </c>
      <c r="D238" s="162" t="inlineStr">
        <is>
          <t>28mm</t>
        </is>
      </c>
      <c r="E238" s="161" t="inlineStr">
        <is>
          <t>EA</t>
        </is>
      </c>
      <c r="F238" s="163" t="n">
        <v>4</v>
      </c>
      <c r="G238" s="162">
        <f>커넥터×2</f>
        <v/>
      </c>
      <c r="H238" s="161" t="inlineStr">
        <is>
          <t>◆</t>
        </is>
      </c>
    </row>
    <row r="239">
      <c r="A239" s="161" t="inlineStr"/>
      <c r="B239" s="161" t="inlineStr">
        <is>
          <t>ACC</t>
        </is>
      </c>
      <c r="C239" s="162" t="inlineStr">
        <is>
          <t xml:space="preserve">  ↳ 새들</t>
        </is>
      </c>
      <c r="D239" s="162" t="inlineStr">
        <is>
          <t>28mm</t>
        </is>
      </c>
      <c r="E239" s="161" t="inlineStr">
        <is>
          <t>EA</t>
        </is>
      </c>
      <c r="F239" s="163" t="n">
        <v>9</v>
      </c>
      <c r="G239" s="162" t="inlineStr">
        <is>
          <t>13.0m÷1.5</t>
        </is>
      </c>
      <c r="H239" s="161" t="inlineStr">
        <is>
          <t>◆</t>
        </is>
      </c>
    </row>
    <row r="240" ht="14.25" customHeight="1" s="78">
      <c r="A240" s="158" t="inlineStr">
        <is>
          <t xml:space="preserve">  [12] K9 (GRAVITY SHAKE FREEZER)</t>
        </is>
      </c>
      <c r="B240" s="174" t="n"/>
      <c r="C240" s="174" t="n"/>
      <c r="D240" s="174" t="n"/>
      <c r="E240" s="174" t="n"/>
      <c r="F240" s="174" t="n"/>
      <c r="G240" s="174" t="n"/>
      <c r="H240" s="175" t="n"/>
    </row>
    <row r="241">
      <c r="A241" s="148" t="n">
        <v>1</v>
      </c>
      <c r="B241" s="148" t="inlineStr">
        <is>
          <t>MAT</t>
        </is>
      </c>
      <c r="C241" s="149" t="inlineStr">
        <is>
          <t>강제전선관 (ST)</t>
        </is>
      </c>
      <c r="D241" s="149" t="inlineStr">
        <is>
          <t>28mm</t>
        </is>
      </c>
      <c r="E241" s="148" t="inlineStr">
        <is>
          <t>m</t>
        </is>
      </c>
      <c r="F241" s="160" t="n">
        <v>13</v>
      </c>
      <c r="G241" s="149" t="inlineStr">
        <is>
          <t>길이산출 13.0m</t>
        </is>
      </c>
      <c r="H241" s="148" t="inlineStr">
        <is>
          <t>◆</t>
        </is>
      </c>
    </row>
    <row r="242">
      <c r="A242" s="148" t="n">
        <v>2</v>
      </c>
      <c r="B242" s="148" t="inlineStr">
        <is>
          <t>MAT</t>
        </is>
      </c>
      <c r="C242" s="149" t="inlineStr">
        <is>
          <t>F-CV 0.6/1kV</t>
        </is>
      </c>
      <c r="D242" s="149" t="inlineStr">
        <is>
          <t>4㎟ 3C</t>
        </is>
      </c>
      <c r="E242" s="148" t="inlineStr">
        <is>
          <t>m</t>
        </is>
      </c>
      <c r="F242" s="160" t="n">
        <v>39</v>
      </c>
      <c r="G242" s="149" t="inlineStr">
        <is>
          <t>배관13.0m×가닥수</t>
        </is>
      </c>
      <c r="H242" s="148" t="inlineStr">
        <is>
          <t>◆</t>
        </is>
      </c>
    </row>
    <row r="243">
      <c r="A243" s="161" t="inlineStr"/>
      <c r="B243" s="161" t="inlineStr">
        <is>
          <t>ACC</t>
        </is>
      </c>
      <c r="C243" s="162" t="inlineStr">
        <is>
          <t xml:space="preserve">  ↳ 커플링</t>
        </is>
      </c>
      <c r="D243" s="162" t="inlineStr">
        <is>
          <t>28mm</t>
        </is>
      </c>
      <c r="E243" s="161" t="inlineStr">
        <is>
          <t>EA</t>
        </is>
      </c>
      <c r="F243" s="163" t="n">
        <v>4</v>
      </c>
      <c r="G243" s="162" t="inlineStr">
        <is>
          <t>13.0m÷3.6</t>
        </is>
      </c>
      <c r="H243" s="161" t="inlineStr">
        <is>
          <t>◆</t>
        </is>
      </c>
    </row>
    <row r="244">
      <c r="A244" s="161" t="inlineStr"/>
      <c r="B244" s="161" t="inlineStr">
        <is>
          <t>ACC</t>
        </is>
      </c>
      <c r="C244" s="162" t="inlineStr">
        <is>
          <t xml:space="preserve">  ↳ 커넥터</t>
        </is>
      </c>
      <c r="D244" s="162" t="inlineStr">
        <is>
          <t>28mm</t>
        </is>
      </c>
      <c r="E244" s="161" t="inlineStr">
        <is>
          <t>EA</t>
        </is>
      </c>
      <c r="F244" s="163" t="n">
        <v>2</v>
      </c>
      <c r="G244" s="162" t="inlineStr">
        <is>
          <t>양단 2개</t>
        </is>
      </c>
      <c r="H244" s="161" t="inlineStr">
        <is>
          <t>◆</t>
        </is>
      </c>
    </row>
    <row r="245">
      <c r="A245" s="161" t="inlineStr"/>
      <c r="B245" s="161" t="inlineStr">
        <is>
          <t>ACC</t>
        </is>
      </c>
      <c r="C245" s="162" t="inlineStr">
        <is>
          <t xml:space="preserve">  ↳ 부싱</t>
        </is>
      </c>
      <c r="D245" s="162" t="inlineStr">
        <is>
          <t>28mm</t>
        </is>
      </c>
      <c r="E245" s="161" t="inlineStr">
        <is>
          <t>EA</t>
        </is>
      </c>
      <c r="F245" s="163" t="n">
        <v>2</v>
      </c>
      <c r="G245" s="162">
        <f>커넥터수</f>
        <v/>
      </c>
      <c r="H245" s="161" t="inlineStr">
        <is>
          <t>◆</t>
        </is>
      </c>
    </row>
    <row r="246">
      <c r="A246" s="161" t="inlineStr"/>
      <c r="B246" s="161" t="inlineStr">
        <is>
          <t>ACC</t>
        </is>
      </c>
      <c r="C246" s="162" t="inlineStr">
        <is>
          <t xml:space="preserve">  ↳ 로크너트</t>
        </is>
      </c>
      <c r="D246" s="162" t="inlineStr">
        <is>
          <t>28mm</t>
        </is>
      </c>
      <c r="E246" s="161" t="inlineStr">
        <is>
          <t>EA</t>
        </is>
      </c>
      <c r="F246" s="163" t="n">
        <v>4</v>
      </c>
      <c r="G246" s="162">
        <f>커넥터×2</f>
        <v/>
      </c>
      <c r="H246" s="161" t="inlineStr">
        <is>
          <t>◆</t>
        </is>
      </c>
    </row>
    <row r="247">
      <c r="A247" s="161" t="inlineStr"/>
      <c r="B247" s="161" t="inlineStr">
        <is>
          <t>ACC</t>
        </is>
      </c>
      <c r="C247" s="162" t="inlineStr">
        <is>
          <t xml:space="preserve">  ↳ 새들</t>
        </is>
      </c>
      <c r="D247" s="162" t="inlineStr">
        <is>
          <t>28mm</t>
        </is>
      </c>
      <c r="E247" s="161" t="inlineStr">
        <is>
          <t>EA</t>
        </is>
      </c>
      <c r="F247" s="163" t="n">
        <v>9</v>
      </c>
      <c r="G247" s="162" t="inlineStr">
        <is>
          <t>13.0m÷1.5</t>
        </is>
      </c>
      <c r="H247" s="161" t="inlineStr">
        <is>
          <t>◆</t>
        </is>
      </c>
    </row>
    <row r="248" ht="14.25" customHeight="1" s="78">
      <c r="A248" s="158" t="inlineStr">
        <is>
          <t xml:space="preserve">  [13] K11 (BEER COOLER)</t>
        </is>
      </c>
      <c r="B248" s="174" t="n"/>
      <c r="C248" s="174" t="n"/>
      <c r="D248" s="174" t="n"/>
      <c r="E248" s="174" t="n"/>
      <c r="F248" s="174" t="n"/>
      <c r="G248" s="174" t="n"/>
      <c r="H248" s="175" t="n"/>
    </row>
    <row r="249">
      <c r="A249" s="148" t="n">
        <v>1</v>
      </c>
      <c r="B249" s="148" t="inlineStr">
        <is>
          <t>MAT</t>
        </is>
      </c>
      <c r="C249" s="149" t="inlineStr">
        <is>
          <t>강제전선관 (ST)</t>
        </is>
      </c>
      <c r="D249" s="149" t="inlineStr">
        <is>
          <t>28mm</t>
        </is>
      </c>
      <c r="E249" s="148" t="inlineStr">
        <is>
          <t>m</t>
        </is>
      </c>
      <c r="F249" s="160" t="n">
        <v>13</v>
      </c>
      <c r="G249" s="149" t="inlineStr">
        <is>
          <t>길이산출 13.0m</t>
        </is>
      </c>
      <c r="H249" s="148" t="inlineStr">
        <is>
          <t>◆</t>
        </is>
      </c>
    </row>
    <row r="250">
      <c r="A250" s="148" t="n">
        <v>2</v>
      </c>
      <c r="B250" s="148" t="inlineStr">
        <is>
          <t>MAT</t>
        </is>
      </c>
      <c r="C250" s="149" t="inlineStr">
        <is>
          <t>F-CV 0.6/1kV</t>
        </is>
      </c>
      <c r="D250" s="149" t="inlineStr">
        <is>
          <t>4㎟ 3C</t>
        </is>
      </c>
      <c r="E250" s="148" t="inlineStr">
        <is>
          <t>m</t>
        </is>
      </c>
      <c r="F250" s="160" t="n">
        <v>39</v>
      </c>
      <c r="G250" s="149" t="inlineStr">
        <is>
          <t>배관13.0m×가닥수</t>
        </is>
      </c>
      <c r="H250" s="148" t="inlineStr">
        <is>
          <t>◆</t>
        </is>
      </c>
    </row>
    <row r="251">
      <c r="A251" s="161" t="inlineStr"/>
      <c r="B251" s="161" t="inlineStr">
        <is>
          <t>ACC</t>
        </is>
      </c>
      <c r="C251" s="162" t="inlineStr">
        <is>
          <t xml:space="preserve">  ↳ 커플링</t>
        </is>
      </c>
      <c r="D251" s="162" t="inlineStr">
        <is>
          <t>28mm</t>
        </is>
      </c>
      <c r="E251" s="161" t="inlineStr">
        <is>
          <t>EA</t>
        </is>
      </c>
      <c r="F251" s="163" t="n">
        <v>4</v>
      </c>
      <c r="G251" s="162" t="inlineStr">
        <is>
          <t>13.0m÷3.6</t>
        </is>
      </c>
      <c r="H251" s="161" t="inlineStr">
        <is>
          <t>◆</t>
        </is>
      </c>
    </row>
    <row r="252">
      <c r="A252" s="161" t="inlineStr"/>
      <c r="B252" s="161" t="inlineStr">
        <is>
          <t>ACC</t>
        </is>
      </c>
      <c r="C252" s="162" t="inlineStr">
        <is>
          <t xml:space="preserve">  ↳ 커넥터</t>
        </is>
      </c>
      <c r="D252" s="162" t="inlineStr">
        <is>
          <t>28mm</t>
        </is>
      </c>
      <c r="E252" s="161" t="inlineStr">
        <is>
          <t>EA</t>
        </is>
      </c>
      <c r="F252" s="163" t="n">
        <v>2</v>
      </c>
      <c r="G252" s="162" t="inlineStr">
        <is>
          <t>양단 2개</t>
        </is>
      </c>
      <c r="H252" s="161" t="inlineStr">
        <is>
          <t>◆</t>
        </is>
      </c>
    </row>
    <row r="253">
      <c r="A253" s="161" t="inlineStr"/>
      <c r="B253" s="161" t="inlineStr">
        <is>
          <t>ACC</t>
        </is>
      </c>
      <c r="C253" s="162" t="inlineStr">
        <is>
          <t xml:space="preserve">  ↳ 부싱</t>
        </is>
      </c>
      <c r="D253" s="162" t="inlineStr">
        <is>
          <t>28mm</t>
        </is>
      </c>
      <c r="E253" s="161" t="inlineStr">
        <is>
          <t>EA</t>
        </is>
      </c>
      <c r="F253" s="163" t="n">
        <v>2</v>
      </c>
      <c r="G253" s="162">
        <f>커넥터수</f>
        <v/>
      </c>
      <c r="H253" s="161" t="inlineStr">
        <is>
          <t>◆</t>
        </is>
      </c>
    </row>
    <row r="254">
      <c r="A254" s="161" t="inlineStr"/>
      <c r="B254" s="161" t="inlineStr">
        <is>
          <t>ACC</t>
        </is>
      </c>
      <c r="C254" s="162" t="inlineStr">
        <is>
          <t xml:space="preserve">  ↳ 로크너트</t>
        </is>
      </c>
      <c r="D254" s="162" t="inlineStr">
        <is>
          <t>28mm</t>
        </is>
      </c>
      <c r="E254" s="161" t="inlineStr">
        <is>
          <t>EA</t>
        </is>
      </c>
      <c r="F254" s="163" t="n">
        <v>4</v>
      </c>
      <c r="G254" s="162">
        <f>커넥터×2</f>
        <v/>
      </c>
      <c r="H254" s="161" t="inlineStr">
        <is>
          <t>◆</t>
        </is>
      </c>
    </row>
    <row r="255">
      <c r="A255" s="161" t="inlineStr"/>
      <c r="B255" s="161" t="inlineStr">
        <is>
          <t>ACC</t>
        </is>
      </c>
      <c r="C255" s="162" t="inlineStr">
        <is>
          <t xml:space="preserve">  ↳ 새들</t>
        </is>
      </c>
      <c r="D255" s="162" t="inlineStr">
        <is>
          <t>28mm</t>
        </is>
      </c>
      <c r="E255" s="161" t="inlineStr">
        <is>
          <t>EA</t>
        </is>
      </c>
      <c r="F255" s="163" t="n">
        <v>9</v>
      </c>
      <c r="G255" s="162" t="inlineStr">
        <is>
          <t>13.0m÷1.5</t>
        </is>
      </c>
      <c r="H255" s="161" t="inlineStr">
        <is>
          <t>◆</t>
        </is>
      </c>
    </row>
    <row r="256" ht="14.25" customHeight="1" s="78">
      <c r="A256" s="158" t="inlineStr">
        <is>
          <t xml:space="preserve">  [14] K13 (ICE CUBE)</t>
        </is>
      </c>
      <c r="B256" s="174" t="n"/>
      <c r="C256" s="174" t="n"/>
      <c r="D256" s="174" t="n"/>
      <c r="E256" s="174" t="n"/>
      <c r="F256" s="174" t="n"/>
      <c r="G256" s="174" t="n"/>
      <c r="H256" s="175" t="n"/>
    </row>
    <row r="257">
      <c r="A257" s="148" t="n">
        <v>1</v>
      </c>
      <c r="B257" s="148" t="inlineStr">
        <is>
          <t>MAT</t>
        </is>
      </c>
      <c r="C257" s="149" t="inlineStr">
        <is>
          <t>강제전선관 (ST)</t>
        </is>
      </c>
      <c r="D257" s="149" t="inlineStr">
        <is>
          <t>28mm</t>
        </is>
      </c>
      <c r="E257" s="148" t="inlineStr">
        <is>
          <t>m</t>
        </is>
      </c>
      <c r="F257" s="160" t="n">
        <v>13</v>
      </c>
      <c r="G257" s="149" t="inlineStr">
        <is>
          <t>길이산출 13.0m</t>
        </is>
      </c>
      <c r="H257" s="148" t="inlineStr">
        <is>
          <t>◆</t>
        </is>
      </c>
    </row>
    <row r="258">
      <c r="A258" s="148" t="n">
        <v>2</v>
      </c>
      <c r="B258" s="148" t="inlineStr">
        <is>
          <t>MAT</t>
        </is>
      </c>
      <c r="C258" s="149" t="inlineStr">
        <is>
          <t>F-CV 0.6/1kV</t>
        </is>
      </c>
      <c r="D258" s="149" t="inlineStr">
        <is>
          <t>4㎟ 3C</t>
        </is>
      </c>
      <c r="E258" s="148" t="inlineStr">
        <is>
          <t>m</t>
        </is>
      </c>
      <c r="F258" s="160" t="n">
        <v>39</v>
      </c>
      <c r="G258" s="149" t="inlineStr">
        <is>
          <t>배관13.0m×가닥수</t>
        </is>
      </c>
      <c r="H258" s="148" t="inlineStr">
        <is>
          <t>◆</t>
        </is>
      </c>
    </row>
    <row r="259">
      <c r="A259" s="161" t="inlineStr"/>
      <c r="B259" s="161" t="inlineStr">
        <is>
          <t>ACC</t>
        </is>
      </c>
      <c r="C259" s="162" t="inlineStr">
        <is>
          <t xml:space="preserve">  ↳ 커플링</t>
        </is>
      </c>
      <c r="D259" s="162" t="inlineStr">
        <is>
          <t>28mm</t>
        </is>
      </c>
      <c r="E259" s="161" t="inlineStr">
        <is>
          <t>EA</t>
        </is>
      </c>
      <c r="F259" s="163" t="n">
        <v>4</v>
      </c>
      <c r="G259" s="162" t="inlineStr">
        <is>
          <t>13.0m÷3.6</t>
        </is>
      </c>
      <c r="H259" s="161" t="inlineStr">
        <is>
          <t>◆</t>
        </is>
      </c>
    </row>
    <row r="260">
      <c r="A260" s="161" t="inlineStr"/>
      <c r="B260" s="161" t="inlineStr">
        <is>
          <t>ACC</t>
        </is>
      </c>
      <c r="C260" s="162" t="inlineStr">
        <is>
          <t xml:space="preserve">  ↳ 커넥터</t>
        </is>
      </c>
      <c r="D260" s="162" t="inlineStr">
        <is>
          <t>28mm</t>
        </is>
      </c>
      <c r="E260" s="161" t="inlineStr">
        <is>
          <t>EA</t>
        </is>
      </c>
      <c r="F260" s="163" t="n">
        <v>2</v>
      </c>
      <c r="G260" s="162" t="inlineStr">
        <is>
          <t>양단 2개</t>
        </is>
      </c>
      <c r="H260" s="161" t="inlineStr">
        <is>
          <t>◆</t>
        </is>
      </c>
    </row>
    <row r="261">
      <c r="A261" s="161" t="inlineStr"/>
      <c r="B261" s="161" t="inlineStr">
        <is>
          <t>ACC</t>
        </is>
      </c>
      <c r="C261" s="162" t="inlineStr">
        <is>
          <t xml:space="preserve">  ↳ 부싱</t>
        </is>
      </c>
      <c r="D261" s="162" t="inlineStr">
        <is>
          <t>28mm</t>
        </is>
      </c>
      <c r="E261" s="161" t="inlineStr">
        <is>
          <t>EA</t>
        </is>
      </c>
      <c r="F261" s="163" t="n">
        <v>2</v>
      </c>
      <c r="G261" s="162">
        <f>커넥터수</f>
        <v/>
      </c>
      <c r="H261" s="161" t="inlineStr">
        <is>
          <t>◆</t>
        </is>
      </c>
    </row>
    <row r="262">
      <c r="A262" s="161" t="inlineStr"/>
      <c r="B262" s="161" t="inlineStr">
        <is>
          <t>ACC</t>
        </is>
      </c>
      <c r="C262" s="162" t="inlineStr">
        <is>
          <t xml:space="preserve">  ↳ 로크너트</t>
        </is>
      </c>
      <c r="D262" s="162" t="inlineStr">
        <is>
          <t>28mm</t>
        </is>
      </c>
      <c r="E262" s="161" t="inlineStr">
        <is>
          <t>EA</t>
        </is>
      </c>
      <c r="F262" s="163" t="n">
        <v>4</v>
      </c>
      <c r="G262" s="162">
        <f>커넥터×2</f>
        <v/>
      </c>
      <c r="H262" s="161" t="inlineStr">
        <is>
          <t>◆</t>
        </is>
      </c>
    </row>
    <row r="263">
      <c r="A263" s="161" t="inlineStr"/>
      <c r="B263" s="161" t="inlineStr">
        <is>
          <t>ACC</t>
        </is>
      </c>
      <c r="C263" s="162" t="inlineStr">
        <is>
          <t xml:space="preserve">  ↳ 새들</t>
        </is>
      </c>
      <c r="D263" s="162" t="inlineStr">
        <is>
          <t>28mm</t>
        </is>
      </c>
      <c r="E263" s="161" t="inlineStr">
        <is>
          <t>EA</t>
        </is>
      </c>
      <c r="F263" s="163" t="n">
        <v>9</v>
      </c>
      <c r="G263" s="162" t="inlineStr">
        <is>
          <t>13.0m÷1.5</t>
        </is>
      </c>
      <c r="H263" s="161" t="inlineStr">
        <is>
          <t>◆</t>
        </is>
      </c>
    </row>
    <row r="264" ht="14.25" customHeight="1" s="78">
      <c r="A264" s="158" t="inlineStr">
        <is>
          <t xml:space="preserve">  [15] K15 (ICE CUBE)</t>
        </is>
      </c>
      <c r="B264" s="174" t="n"/>
      <c r="C264" s="174" t="n"/>
      <c r="D264" s="174" t="n"/>
      <c r="E264" s="174" t="n"/>
      <c r="F264" s="174" t="n"/>
      <c r="G264" s="174" t="n"/>
      <c r="H264" s="175" t="n"/>
    </row>
    <row r="265">
      <c r="A265" s="148" t="n">
        <v>1</v>
      </c>
      <c r="B265" s="148" t="inlineStr">
        <is>
          <t>MAT</t>
        </is>
      </c>
      <c r="C265" s="149" t="inlineStr">
        <is>
          <t>강제전선관 (ST)</t>
        </is>
      </c>
      <c r="D265" s="149" t="inlineStr">
        <is>
          <t>28mm</t>
        </is>
      </c>
      <c r="E265" s="148" t="inlineStr">
        <is>
          <t>m</t>
        </is>
      </c>
      <c r="F265" s="160" t="n">
        <v>13</v>
      </c>
      <c r="G265" s="149" t="inlineStr">
        <is>
          <t>길이산출 13.0m</t>
        </is>
      </c>
      <c r="H265" s="148" t="inlineStr">
        <is>
          <t>◆</t>
        </is>
      </c>
    </row>
    <row r="266">
      <c r="A266" s="148" t="n">
        <v>2</v>
      </c>
      <c r="B266" s="148" t="inlineStr">
        <is>
          <t>MAT</t>
        </is>
      </c>
      <c r="C266" s="149" t="inlineStr">
        <is>
          <t>F-CV 0.6/1kV</t>
        </is>
      </c>
      <c r="D266" s="149" t="inlineStr">
        <is>
          <t>4㎟ 3C</t>
        </is>
      </c>
      <c r="E266" s="148" t="inlineStr">
        <is>
          <t>m</t>
        </is>
      </c>
      <c r="F266" s="160" t="n">
        <v>39</v>
      </c>
      <c r="G266" s="149" t="inlineStr">
        <is>
          <t>배관13.0m×가닥수</t>
        </is>
      </c>
      <c r="H266" s="148" t="inlineStr">
        <is>
          <t>◆</t>
        </is>
      </c>
    </row>
    <row r="267">
      <c r="A267" s="161" t="inlineStr"/>
      <c r="B267" s="161" t="inlineStr">
        <is>
          <t>ACC</t>
        </is>
      </c>
      <c r="C267" s="162" t="inlineStr">
        <is>
          <t xml:space="preserve">  ↳ 커플링</t>
        </is>
      </c>
      <c r="D267" s="162" t="inlineStr">
        <is>
          <t>28mm</t>
        </is>
      </c>
      <c r="E267" s="161" t="inlineStr">
        <is>
          <t>EA</t>
        </is>
      </c>
      <c r="F267" s="163" t="n">
        <v>4</v>
      </c>
      <c r="G267" s="162" t="inlineStr">
        <is>
          <t>13.0m÷3.6</t>
        </is>
      </c>
      <c r="H267" s="161" t="inlineStr">
        <is>
          <t>◆</t>
        </is>
      </c>
    </row>
    <row r="268">
      <c r="A268" s="161" t="inlineStr"/>
      <c r="B268" s="161" t="inlineStr">
        <is>
          <t>ACC</t>
        </is>
      </c>
      <c r="C268" s="162" t="inlineStr">
        <is>
          <t xml:space="preserve">  ↳ 커넥터</t>
        </is>
      </c>
      <c r="D268" s="162" t="inlineStr">
        <is>
          <t>28mm</t>
        </is>
      </c>
      <c r="E268" s="161" t="inlineStr">
        <is>
          <t>EA</t>
        </is>
      </c>
      <c r="F268" s="163" t="n">
        <v>2</v>
      </c>
      <c r="G268" s="162" t="inlineStr">
        <is>
          <t>양단 2개</t>
        </is>
      </c>
      <c r="H268" s="161" t="inlineStr">
        <is>
          <t>◆</t>
        </is>
      </c>
    </row>
    <row r="269">
      <c r="A269" s="161" t="inlineStr"/>
      <c r="B269" s="161" t="inlineStr">
        <is>
          <t>ACC</t>
        </is>
      </c>
      <c r="C269" s="162" t="inlineStr">
        <is>
          <t xml:space="preserve">  ↳ 부싱</t>
        </is>
      </c>
      <c r="D269" s="162" t="inlineStr">
        <is>
          <t>28mm</t>
        </is>
      </c>
      <c r="E269" s="161" t="inlineStr">
        <is>
          <t>EA</t>
        </is>
      </c>
      <c r="F269" s="163" t="n">
        <v>2</v>
      </c>
      <c r="G269" s="162">
        <f>커넥터수</f>
        <v/>
      </c>
      <c r="H269" s="161" t="inlineStr">
        <is>
          <t>◆</t>
        </is>
      </c>
    </row>
    <row r="270">
      <c r="A270" s="161" t="inlineStr"/>
      <c r="B270" s="161" t="inlineStr">
        <is>
          <t>ACC</t>
        </is>
      </c>
      <c r="C270" s="162" t="inlineStr">
        <is>
          <t xml:space="preserve">  ↳ 로크너트</t>
        </is>
      </c>
      <c r="D270" s="162" t="inlineStr">
        <is>
          <t>28mm</t>
        </is>
      </c>
      <c r="E270" s="161" t="inlineStr">
        <is>
          <t>EA</t>
        </is>
      </c>
      <c r="F270" s="163" t="n">
        <v>4</v>
      </c>
      <c r="G270" s="162">
        <f>커넥터×2</f>
        <v/>
      </c>
      <c r="H270" s="161" t="inlineStr">
        <is>
          <t>◆</t>
        </is>
      </c>
    </row>
    <row r="271">
      <c r="A271" s="161" t="inlineStr"/>
      <c r="B271" s="161" t="inlineStr">
        <is>
          <t>ACC</t>
        </is>
      </c>
      <c r="C271" s="162" t="inlineStr">
        <is>
          <t xml:space="preserve">  ↳ 새들</t>
        </is>
      </c>
      <c r="D271" s="162" t="inlineStr">
        <is>
          <t>28mm</t>
        </is>
      </c>
      <c r="E271" s="161" t="inlineStr">
        <is>
          <t>EA</t>
        </is>
      </c>
      <c r="F271" s="163" t="n">
        <v>9</v>
      </c>
      <c r="G271" s="162" t="inlineStr">
        <is>
          <t>13.0m÷1.5</t>
        </is>
      </c>
      <c r="H271" s="161" t="inlineStr">
        <is>
          <t>◆</t>
        </is>
      </c>
    </row>
    <row r="272" ht="14.25" customHeight="1" s="78">
      <c r="A272" s="158" t="inlineStr">
        <is>
          <t xml:space="preserve">  [32] K18 (DRYER)</t>
        </is>
      </c>
      <c r="B272" s="174" t="n"/>
      <c r="C272" s="174" t="n"/>
      <c r="D272" s="174" t="n"/>
      <c r="E272" s="174" t="n"/>
      <c r="F272" s="174" t="n"/>
      <c r="G272" s="174" t="n"/>
      <c r="H272" s="175" t="n"/>
    </row>
    <row r="273">
      <c r="A273" s="148" t="n">
        <v>1</v>
      </c>
      <c r="B273" s="148" t="inlineStr">
        <is>
          <t>MAT</t>
        </is>
      </c>
      <c r="C273" s="149" t="inlineStr">
        <is>
          <t>강제전선관 (ST)</t>
        </is>
      </c>
      <c r="D273" s="149" t="inlineStr">
        <is>
          <t>36mm</t>
        </is>
      </c>
      <c r="E273" s="148" t="inlineStr">
        <is>
          <t>m</t>
        </is>
      </c>
      <c r="F273" s="160" t="n">
        <v>13</v>
      </c>
      <c r="G273" s="149" t="inlineStr">
        <is>
          <t>길이산출 13.0m</t>
        </is>
      </c>
      <c r="H273" s="148" t="inlineStr">
        <is>
          <t>◆</t>
        </is>
      </c>
    </row>
    <row r="274">
      <c r="A274" s="148" t="n">
        <v>2</v>
      </c>
      <c r="B274" s="148" t="inlineStr">
        <is>
          <t>MAT</t>
        </is>
      </c>
      <c r="C274" s="149" t="inlineStr">
        <is>
          <t>F-CV 0.6/1kV</t>
        </is>
      </c>
      <c r="D274" s="149" t="inlineStr">
        <is>
          <t>6㎟ 4C</t>
        </is>
      </c>
      <c r="E274" s="148" t="inlineStr">
        <is>
          <t>m</t>
        </is>
      </c>
      <c r="F274" s="160" t="n">
        <v>52</v>
      </c>
      <c r="G274" s="149" t="inlineStr">
        <is>
          <t>배관13.0m×가닥수</t>
        </is>
      </c>
      <c r="H274" s="148" t="inlineStr">
        <is>
          <t>◆</t>
        </is>
      </c>
    </row>
    <row r="275">
      <c r="A275" s="161" t="inlineStr"/>
      <c r="B275" s="161" t="inlineStr">
        <is>
          <t>ACC</t>
        </is>
      </c>
      <c r="C275" s="162" t="inlineStr">
        <is>
          <t xml:space="preserve">  ↳ 커플링</t>
        </is>
      </c>
      <c r="D275" s="162" t="inlineStr">
        <is>
          <t>36mm</t>
        </is>
      </c>
      <c r="E275" s="161" t="inlineStr">
        <is>
          <t>EA</t>
        </is>
      </c>
      <c r="F275" s="163" t="n">
        <v>4</v>
      </c>
      <c r="G275" s="162" t="inlineStr">
        <is>
          <t>13.0m÷3.6</t>
        </is>
      </c>
      <c r="H275" s="161" t="inlineStr">
        <is>
          <t>◆</t>
        </is>
      </c>
    </row>
    <row r="276">
      <c r="A276" s="161" t="inlineStr"/>
      <c r="B276" s="161" t="inlineStr">
        <is>
          <t>ACC</t>
        </is>
      </c>
      <c r="C276" s="162" t="inlineStr">
        <is>
          <t xml:space="preserve">  ↳ 커넥터</t>
        </is>
      </c>
      <c r="D276" s="162" t="inlineStr">
        <is>
          <t>36mm</t>
        </is>
      </c>
      <c r="E276" s="161" t="inlineStr">
        <is>
          <t>EA</t>
        </is>
      </c>
      <c r="F276" s="163" t="n">
        <v>2</v>
      </c>
      <c r="G276" s="162" t="inlineStr">
        <is>
          <t>양단 2개</t>
        </is>
      </c>
      <c r="H276" s="161" t="inlineStr">
        <is>
          <t>◆</t>
        </is>
      </c>
    </row>
    <row r="277">
      <c r="A277" s="161" t="inlineStr"/>
      <c r="B277" s="161" t="inlineStr">
        <is>
          <t>ACC</t>
        </is>
      </c>
      <c r="C277" s="162" t="inlineStr">
        <is>
          <t xml:space="preserve">  ↳ 부싱</t>
        </is>
      </c>
      <c r="D277" s="162" t="inlineStr">
        <is>
          <t>36mm</t>
        </is>
      </c>
      <c r="E277" s="161" t="inlineStr">
        <is>
          <t>EA</t>
        </is>
      </c>
      <c r="F277" s="163" t="n">
        <v>2</v>
      </c>
      <c r="G277" s="162">
        <f>커넥터수</f>
        <v/>
      </c>
      <c r="H277" s="161" t="inlineStr">
        <is>
          <t>◆</t>
        </is>
      </c>
    </row>
    <row r="278">
      <c r="A278" s="161" t="inlineStr"/>
      <c r="B278" s="161" t="inlineStr">
        <is>
          <t>ACC</t>
        </is>
      </c>
      <c r="C278" s="162" t="inlineStr">
        <is>
          <t xml:space="preserve">  ↳ 로크너트</t>
        </is>
      </c>
      <c r="D278" s="162" t="inlineStr">
        <is>
          <t>36mm</t>
        </is>
      </c>
      <c r="E278" s="161" t="inlineStr">
        <is>
          <t>EA</t>
        </is>
      </c>
      <c r="F278" s="163" t="n">
        <v>4</v>
      </c>
      <c r="G278" s="162">
        <f>커넥터×2</f>
        <v/>
      </c>
      <c r="H278" s="161" t="inlineStr">
        <is>
          <t>◆</t>
        </is>
      </c>
    </row>
    <row r="279">
      <c r="A279" s="161" t="inlineStr"/>
      <c r="B279" s="161" t="inlineStr">
        <is>
          <t>ACC</t>
        </is>
      </c>
      <c r="C279" s="162" t="inlineStr">
        <is>
          <t xml:space="preserve">  ↳ 새들</t>
        </is>
      </c>
      <c r="D279" s="162" t="inlineStr">
        <is>
          <t>36mm</t>
        </is>
      </c>
      <c r="E279" s="161" t="inlineStr">
        <is>
          <t>EA</t>
        </is>
      </c>
      <c r="F279" s="163" t="n">
        <v>9</v>
      </c>
      <c r="G279" s="162" t="inlineStr">
        <is>
          <t>13.0m÷1.5</t>
        </is>
      </c>
      <c r="H279" s="161" t="inlineStr">
        <is>
          <t>◆</t>
        </is>
      </c>
    </row>
    <row r="280" ht="14.25" customHeight="1" s="78">
      <c r="A280" s="158" t="inlineStr">
        <is>
          <t xml:space="preserve">  [34] K2 (POTATO SINK)</t>
        </is>
      </c>
      <c r="B280" s="174" t="n"/>
      <c r="C280" s="174" t="n"/>
      <c r="D280" s="174" t="n"/>
      <c r="E280" s="174" t="n"/>
      <c r="F280" s="174" t="n"/>
      <c r="G280" s="174" t="n"/>
      <c r="H280" s="175" t="n"/>
    </row>
    <row r="281">
      <c r="A281" s="148" t="n">
        <v>1</v>
      </c>
      <c r="B281" s="148" t="inlineStr">
        <is>
          <t>MAT</t>
        </is>
      </c>
      <c r="C281" s="149" t="inlineStr">
        <is>
          <t>강제전선관 (ST)</t>
        </is>
      </c>
      <c r="D281" s="149" t="inlineStr">
        <is>
          <t>28mm</t>
        </is>
      </c>
      <c r="E281" s="148" t="inlineStr">
        <is>
          <t>m</t>
        </is>
      </c>
      <c r="F281" s="160" t="n">
        <v>13</v>
      </c>
      <c r="G281" s="149" t="inlineStr">
        <is>
          <t>길이산출 13.0m</t>
        </is>
      </c>
      <c r="H281" s="148" t="inlineStr">
        <is>
          <t>◆</t>
        </is>
      </c>
    </row>
    <row r="282">
      <c r="A282" s="148" t="n">
        <v>2</v>
      </c>
      <c r="B282" s="148" t="inlineStr">
        <is>
          <t>MAT</t>
        </is>
      </c>
      <c r="C282" s="149" t="inlineStr">
        <is>
          <t>F-CV 0.6/1kV</t>
        </is>
      </c>
      <c r="D282" s="149" t="inlineStr">
        <is>
          <t>4㎟ 3C</t>
        </is>
      </c>
      <c r="E282" s="148" t="inlineStr">
        <is>
          <t>m</t>
        </is>
      </c>
      <c r="F282" s="160" t="n">
        <v>39</v>
      </c>
      <c r="G282" s="149" t="inlineStr">
        <is>
          <t>배관13.0m×가닥수</t>
        </is>
      </c>
      <c r="H282" s="148" t="inlineStr">
        <is>
          <t>◆</t>
        </is>
      </c>
    </row>
    <row r="283">
      <c r="A283" s="161" t="inlineStr"/>
      <c r="B283" s="161" t="inlineStr">
        <is>
          <t>ACC</t>
        </is>
      </c>
      <c r="C283" s="162" t="inlineStr">
        <is>
          <t xml:space="preserve">  ↳ 커플링</t>
        </is>
      </c>
      <c r="D283" s="162" t="inlineStr">
        <is>
          <t>28mm</t>
        </is>
      </c>
      <c r="E283" s="161" t="inlineStr">
        <is>
          <t>EA</t>
        </is>
      </c>
      <c r="F283" s="163" t="n">
        <v>4</v>
      </c>
      <c r="G283" s="162" t="inlineStr">
        <is>
          <t>13.0m÷3.6</t>
        </is>
      </c>
      <c r="H283" s="161" t="inlineStr">
        <is>
          <t>◆</t>
        </is>
      </c>
    </row>
    <row r="284">
      <c r="A284" s="161" t="inlineStr"/>
      <c r="B284" s="161" t="inlineStr">
        <is>
          <t>ACC</t>
        </is>
      </c>
      <c r="C284" s="162" t="inlineStr">
        <is>
          <t xml:space="preserve">  ↳ 커넥터</t>
        </is>
      </c>
      <c r="D284" s="162" t="inlineStr">
        <is>
          <t>28mm</t>
        </is>
      </c>
      <c r="E284" s="161" t="inlineStr">
        <is>
          <t>EA</t>
        </is>
      </c>
      <c r="F284" s="163" t="n">
        <v>2</v>
      </c>
      <c r="G284" s="162" t="inlineStr">
        <is>
          <t>양단 2개</t>
        </is>
      </c>
      <c r="H284" s="161" t="inlineStr">
        <is>
          <t>◆</t>
        </is>
      </c>
    </row>
    <row r="285">
      <c r="A285" s="161" t="inlineStr"/>
      <c r="B285" s="161" t="inlineStr">
        <is>
          <t>ACC</t>
        </is>
      </c>
      <c r="C285" s="162" t="inlineStr">
        <is>
          <t xml:space="preserve">  ↳ 부싱</t>
        </is>
      </c>
      <c r="D285" s="162" t="inlineStr">
        <is>
          <t>28mm</t>
        </is>
      </c>
      <c r="E285" s="161" t="inlineStr">
        <is>
          <t>EA</t>
        </is>
      </c>
      <c r="F285" s="163" t="n">
        <v>2</v>
      </c>
      <c r="G285" s="162">
        <f>커넥터수</f>
        <v/>
      </c>
      <c r="H285" s="161" t="inlineStr">
        <is>
          <t>◆</t>
        </is>
      </c>
    </row>
    <row r="286">
      <c r="A286" s="161" t="inlineStr"/>
      <c r="B286" s="161" t="inlineStr">
        <is>
          <t>ACC</t>
        </is>
      </c>
      <c r="C286" s="162" t="inlineStr">
        <is>
          <t xml:space="preserve">  ↳ 로크너트</t>
        </is>
      </c>
      <c r="D286" s="162" t="inlineStr">
        <is>
          <t>28mm</t>
        </is>
      </c>
      <c r="E286" s="161" t="inlineStr">
        <is>
          <t>EA</t>
        </is>
      </c>
      <c r="F286" s="163" t="n">
        <v>4</v>
      </c>
      <c r="G286" s="162">
        <f>커넥터×2</f>
        <v/>
      </c>
      <c r="H286" s="161" t="inlineStr">
        <is>
          <t>◆</t>
        </is>
      </c>
    </row>
    <row r="287">
      <c r="A287" s="161" t="inlineStr"/>
      <c r="B287" s="161" t="inlineStr">
        <is>
          <t>ACC</t>
        </is>
      </c>
      <c r="C287" s="162" t="inlineStr">
        <is>
          <t xml:space="preserve">  ↳ 새들</t>
        </is>
      </c>
      <c r="D287" s="162" t="inlineStr">
        <is>
          <t>28mm</t>
        </is>
      </c>
      <c r="E287" s="161" t="inlineStr">
        <is>
          <t>EA</t>
        </is>
      </c>
      <c r="F287" s="163" t="n">
        <v>9</v>
      </c>
      <c r="G287" s="162" t="inlineStr">
        <is>
          <t>13.0m÷1.5</t>
        </is>
      </c>
      <c r="H287" s="161" t="inlineStr">
        <is>
          <t>◆</t>
        </is>
      </c>
    </row>
    <row r="288" ht="14.25" customHeight="1" s="78">
      <c r="A288" s="158" t="inlineStr">
        <is>
          <t xml:space="preserve">  [35] K4 (FRYER, 4BAY (GAS TYPE) × 2)</t>
        </is>
      </c>
      <c r="B288" s="174" t="n"/>
      <c r="C288" s="174" t="n"/>
      <c r="D288" s="174" t="n"/>
      <c r="E288" s="174" t="n"/>
      <c r="F288" s="174" t="n"/>
      <c r="G288" s="174" t="n"/>
      <c r="H288" s="175" t="n"/>
    </row>
    <row r="289">
      <c r="A289" s="148" t="n">
        <v>1</v>
      </c>
      <c r="B289" s="148" t="inlineStr">
        <is>
          <t>MAT</t>
        </is>
      </c>
      <c r="C289" s="149" t="inlineStr">
        <is>
          <t>강제전선관 (ST)</t>
        </is>
      </c>
      <c r="D289" s="149" t="inlineStr">
        <is>
          <t>28mm</t>
        </is>
      </c>
      <c r="E289" s="148" t="inlineStr">
        <is>
          <t>m</t>
        </is>
      </c>
      <c r="F289" s="160" t="n">
        <v>13</v>
      </c>
      <c r="G289" s="149" t="inlineStr">
        <is>
          <t>길이산출 13.0m</t>
        </is>
      </c>
      <c r="H289" s="148" t="inlineStr">
        <is>
          <t>◆</t>
        </is>
      </c>
    </row>
    <row r="290">
      <c r="A290" s="148" t="n">
        <v>2</v>
      </c>
      <c r="B290" s="148" t="inlineStr">
        <is>
          <t>MAT</t>
        </is>
      </c>
      <c r="C290" s="149" t="inlineStr">
        <is>
          <t>F-CV 0.6/1kV</t>
        </is>
      </c>
      <c r="D290" s="149" t="inlineStr">
        <is>
          <t>4㎟ 3C</t>
        </is>
      </c>
      <c r="E290" s="148" t="inlineStr">
        <is>
          <t>m</t>
        </is>
      </c>
      <c r="F290" s="160" t="n">
        <v>39</v>
      </c>
      <c r="G290" s="149" t="inlineStr">
        <is>
          <t>배관13.0m×가닥수</t>
        </is>
      </c>
      <c r="H290" s="148" t="inlineStr">
        <is>
          <t>◆</t>
        </is>
      </c>
    </row>
    <row r="291">
      <c r="A291" s="161" t="inlineStr"/>
      <c r="B291" s="161" t="inlineStr">
        <is>
          <t>ACC</t>
        </is>
      </c>
      <c r="C291" s="162" t="inlineStr">
        <is>
          <t xml:space="preserve">  ↳ 커플링</t>
        </is>
      </c>
      <c r="D291" s="162" t="inlineStr">
        <is>
          <t>28mm</t>
        </is>
      </c>
      <c r="E291" s="161" t="inlineStr">
        <is>
          <t>EA</t>
        </is>
      </c>
      <c r="F291" s="163" t="n">
        <v>4</v>
      </c>
      <c r="G291" s="162" t="inlineStr">
        <is>
          <t>13.0m÷3.6</t>
        </is>
      </c>
      <c r="H291" s="161" t="inlineStr">
        <is>
          <t>◆</t>
        </is>
      </c>
    </row>
    <row r="292">
      <c r="A292" s="161" t="inlineStr"/>
      <c r="B292" s="161" t="inlineStr">
        <is>
          <t>ACC</t>
        </is>
      </c>
      <c r="C292" s="162" t="inlineStr">
        <is>
          <t xml:space="preserve">  ↳ 커넥터</t>
        </is>
      </c>
      <c r="D292" s="162" t="inlineStr">
        <is>
          <t>28mm</t>
        </is>
      </c>
      <c r="E292" s="161" t="inlineStr">
        <is>
          <t>EA</t>
        </is>
      </c>
      <c r="F292" s="163" t="n">
        <v>2</v>
      </c>
      <c r="G292" s="162" t="inlineStr">
        <is>
          <t>양단 2개</t>
        </is>
      </c>
      <c r="H292" s="161" t="inlineStr">
        <is>
          <t>◆</t>
        </is>
      </c>
    </row>
    <row r="293">
      <c r="A293" s="161" t="inlineStr"/>
      <c r="B293" s="161" t="inlineStr">
        <is>
          <t>ACC</t>
        </is>
      </c>
      <c r="C293" s="162" t="inlineStr">
        <is>
          <t xml:space="preserve">  ↳ 부싱</t>
        </is>
      </c>
      <c r="D293" s="162" t="inlineStr">
        <is>
          <t>28mm</t>
        </is>
      </c>
      <c r="E293" s="161" t="inlineStr">
        <is>
          <t>EA</t>
        </is>
      </c>
      <c r="F293" s="163" t="n">
        <v>2</v>
      </c>
      <c r="G293" s="162">
        <f>커넥터수</f>
        <v/>
      </c>
      <c r="H293" s="161" t="inlineStr">
        <is>
          <t>◆</t>
        </is>
      </c>
    </row>
    <row r="294">
      <c r="A294" s="161" t="inlineStr"/>
      <c r="B294" s="161" t="inlineStr">
        <is>
          <t>ACC</t>
        </is>
      </c>
      <c r="C294" s="162" t="inlineStr">
        <is>
          <t xml:space="preserve">  ↳ 로크너트</t>
        </is>
      </c>
      <c r="D294" s="162" t="inlineStr">
        <is>
          <t>28mm</t>
        </is>
      </c>
      <c r="E294" s="161" t="inlineStr">
        <is>
          <t>EA</t>
        </is>
      </c>
      <c r="F294" s="163" t="n">
        <v>4</v>
      </c>
      <c r="G294" s="162">
        <f>커넥터×2</f>
        <v/>
      </c>
      <c r="H294" s="161" t="inlineStr">
        <is>
          <t>◆</t>
        </is>
      </c>
    </row>
    <row r="295">
      <c r="A295" s="161" t="inlineStr"/>
      <c r="B295" s="161" t="inlineStr">
        <is>
          <t>ACC</t>
        </is>
      </c>
      <c r="C295" s="162" t="inlineStr">
        <is>
          <t xml:space="preserve">  ↳ 새들</t>
        </is>
      </c>
      <c r="D295" s="162" t="inlineStr">
        <is>
          <t>28mm</t>
        </is>
      </c>
      <c r="E295" s="161" t="inlineStr">
        <is>
          <t>EA</t>
        </is>
      </c>
      <c r="F295" s="163" t="n">
        <v>9</v>
      </c>
      <c r="G295" s="162" t="inlineStr">
        <is>
          <t>13.0m÷1.5</t>
        </is>
      </c>
      <c r="H295" s="161" t="inlineStr">
        <is>
          <t>◆</t>
        </is>
      </c>
    </row>
    <row r="296" ht="14.25" customHeight="1" s="78">
      <c r="A296" s="158" t="inlineStr">
        <is>
          <t xml:space="preserve">  [36] K6 (SANDWICH WRAP TABLE/PREP TABLE)</t>
        </is>
      </c>
      <c r="B296" s="174" t="n"/>
      <c r="C296" s="174" t="n"/>
      <c r="D296" s="174" t="n"/>
      <c r="E296" s="174" t="n"/>
      <c r="F296" s="174" t="n"/>
      <c r="G296" s="174" t="n"/>
      <c r="H296" s="175" t="n"/>
    </row>
    <row r="297">
      <c r="A297" s="148" t="n">
        <v>1</v>
      </c>
      <c r="B297" s="148" t="inlineStr">
        <is>
          <t>MAT</t>
        </is>
      </c>
      <c r="C297" s="149" t="inlineStr">
        <is>
          <t>강제전선관 (ST)</t>
        </is>
      </c>
      <c r="D297" s="149" t="inlineStr">
        <is>
          <t>28mm</t>
        </is>
      </c>
      <c r="E297" s="148" t="inlineStr">
        <is>
          <t>m</t>
        </is>
      </c>
      <c r="F297" s="160" t="n">
        <v>13</v>
      </c>
      <c r="G297" s="149" t="inlineStr">
        <is>
          <t>길이산출 13.0m</t>
        </is>
      </c>
      <c r="H297" s="148" t="inlineStr">
        <is>
          <t>◆</t>
        </is>
      </c>
    </row>
    <row r="298">
      <c r="A298" s="148" t="n">
        <v>2</v>
      </c>
      <c r="B298" s="148" t="inlineStr">
        <is>
          <t>MAT</t>
        </is>
      </c>
      <c r="C298" s="149" t="inlineStr">
        <is>
          <t>F-CV 0.6/1kV</t>
        </is>
      </c>
      <c r="D298" s="149" t="inlineStr">
        <is>
          <t>4㎟ 3C</t>
        </is>
      </c>
      <c r="E298" s="148" t="inlineStr">
        <is>
          <t>m</t>
        </is>
      </c>
      <c r="F298" s="160" t="n">
        <v>39</v>
      </c>
      <c r="G298" s="149" t="inlineStr">
        <is>
          <t>배관13.0m×가닥수</t>
        </is>
      </c>
      <c r="H298" s="148" t="inlineStr">
        <is>
          <t>◆</t>
        </is>
      </c>
    </row>
    <row r="299">
      <c r="A299" s="161" t="inlineStr"/>
      <c r="B299" s="161" t="inlineStr">
        <is>
          <t>ACC</t>
        </is>
      </c>
      <c r="C299" s="162" t="inlineStr">
        <is>
          <t xml:space="preserve">  ↳ 커플링</t>
        </is>
      </c>
      <c r="D299" s="162" t="inlineStr">
        <is>
          <t>28mm</t>
        </is>
      </c>
      <c r="E299" s="161" t="inlineStr">
        <is>
          <t>EA</t>
        </is>
      </c>
      <c r="F299" s="163" t="n">
        <v>4</v>
      </c>
      <c r="G299" s="162" t="inlineStr">
        <is>
          <t>13.0m÷3.6</t>
        </is>
      </c>
      <c r="H299" s="161" t="inlineStr">
        <is>
          <t>◆</t>
        </is>
      </c>
    </row>
    <row r="300">
      <c r="A300" s="161" t="inlineStr"/>
      <c r="B300" s="161" t="inlineStr">
        <is>
          <t>ACC</t>
        </is>
      </c>
      <c r="C300" s="162" t="inlineStr">
        <is>
          <t xml:space="preserve">  ↳ 커넥터</t>
        </is>
      </c>
      <c r="D300" s="162" t="inlineStr">
        <is>
          <t>28mm</t>
        </is>
      </c>
      <c r="E300" s="161" t="inlineStr">
        <is>
          <t>EA</t>
        </is>
      </c>
      <c r="F300" s="163" t="n">
        <v>2</v>
      </c>
      <c r="G300" s="162" t="inlineStr">
        <is>
          <t>양단 2개</t>
        </is>
      </c>
      <c r="H300" s="161" t="inlineStr">
        <is>
          <t>◆</t>
        </is>
      </c>
    </row>
    <row r="301">
      <c r="A301" s="161" t="inlineStr"/>
      <c r="B301" s="161" t="inlineStr">
        <is>
          <t>ACC</t>
        </is>
      </c>
      <c r="C301" s="162" t="inlineStr">
        <is>
          <t xml:space="preserve">  ↳ 부싱</t>
        </is>
      </c>
      <c r="D301" s="162" t="inlineStr">
        <is>
          <t>28mm</t>
        </is>
      </c>
      <c r="E301" s="161" t="inlineStr">
        <is>
          <t>EA</t>
        </is>
      </c>
      <c r="F301" s="163" t="n">
        <v>2</v>
      </c>
      <c r="G301" s="162">
        <f>커넥터수</f>
        <v/>
      </c>
      <c r="H301" s="161" t="inlineStr">
        <is>
          <t>◆</t>
        </is>
      </c>
    </row>
    <row r="302">
      <c r="A302" s="161" t="inlineStr"/>
      <c r="B302" s="161" t="inlineStr">
        <is>
          <t>ACC</t>
        </is>
      </c>
      <c r="C302" s="162" t="inlineStr">
        <is>
          <t xml:space="preserve">  ↳ 로크너트</t>
        </is>
      </c>
      <c r="D302" s="162" t="inlineStr">
        <is>
          <t>28mm</t>
        </is>
      </c>
      <c r="E302" s="161" t="inlineStr">
        <is>
          <t>EA</t>
        </is>
      </c>
      <c r="F302" s="163" t="n">
        <v>4</v>
      </c>
      <c r="G302" s="162">
        <f>커넥터×2</f>
        <v/>
      </c>
      <c r="H302" s="161" t="inlineStr">
        <is>
          <t>◆</t>
        </is>
      </c>
    </row>
    <row r="303">
      <c r="A303" s="161" t="inlineStr"/>
      <c r="B303" s="161" t="inlineStr">
        <is>
          <t>ACC</t>
        </is>
      </c>
      <c r="C303" s="162" t="inlineStr">
        <is>
          <t xml:space="preserve">  ↳ 새들</t>
        </is>
      </c>
      <c r="D303" s="162" t="inlineStr">
        <is>
          <t>28mm</t>
        </is>
      </c>
      <c r="E303" s="161" t="inlineStr">
        <is>
          <t>EA</t>
        </is>
      </c>
      <c r="F303" s="163" t="n">
        <v>9</v>
      </c>
      <c r="G303" s="162" t="inlineStr">
        <is>
          <t>13.0m÷1.5</t>
        </is>
      </c>
      <c r="H303" s="161" t="inlineStr">
        <is>
          <t>◆</t>
        </is>
      </c>
    </row>
    <row r="304" ht="14.25" customHeight="1" s="78">
      <c r="A304" s="158" t="inlineStr">
        <is>
          <t xml:space="preserve">  [37] K8 (COOKED FRIED STATION/FRY STATION TABLE W/WARMER)</t>
        </is>
      </c>
      <c r="B304" s="174" t="n"/>
      <c r="C304" s="174" t="n"/>
      <c r="D304" s="174" t="n"/>
      <c r="E304" s="174" t="n"/>
      <c r="F304" s="174" t="n"/>
      <c r="G304" s="174" t="n"/>
      <c r="H304" s="175" t="n"/>
    </row>
    <row r="305">
      <c r="A305" s="148" t="n">
        <v>1</v>
      </c>
      <c r="B305" s="148" t="inlineStr">
        <is>
          <t>MAT</t>
        </is>
      </c>
      <c r="C305" s="149" t="inlineStr">
        <is>
          <t>강제전선관 (ST)</t>
        </is>
      </c>
      <c r="D305" s="149" t="inlineStr">
        <is>
          <t>28mm</t>
        </is>
      </c>
      <c r="E305" s="148" t="inlineStr">
        <is>
          <t>m</t>
        </is>
      </c>
      <c r="F305" s="160" t="n">
        <v>13</v>
      </c>
      <c r="G305" s="149" t="inlineStr">
        <is>
          <t>길이산출 13.0m</t>
        </is>
      </c>
      <c r="H305" s="148" t="inlineStr">
        <is>
          <t>◆</t>
        </is>
      </c>
    </row>
    <row r="306">
      <c r="A306" s="148" t="n">
        <v>2</v>
      </c>
      <c r="B306" s="148" t="inlineStr">
        <is>
          <t>MAT</t>
        </is>
      </c>
      <c r="C306" s="149" t="inlineStr">
        <is>
          <t>F-CV 0.6/1kV</t>
        </is>
      </c>
      <c r="D306" s="149" t="inlineStr">
        <is>
          <t>4㎟ 3C</t>
        </is>
      </c>
      <c r="E306" s="148" t="inlineStr">
        <is>
          <t>m</t>
        </is>
      </c>
      <c r="F306" s="160" t="n">
        <v>39</v>
      </c>
      <c r="G306" s="149" t="inlineStr">
        <is>
          <t>배관13.0m×가닥수</t>
        </is>
      </c>
      <c r="H306" s="148" t="inlineStr">
        <is>
          <t>◆</t>
        </is>
      </c>
    </row>
    <row r="307">
      <c r="A307" s="161" t="inlineStr"/>
      <c r="B307" s="161" t="inlineStr">
        <is>
          <t>ACC</t>
        </is>
      </c>
      <c r="C307" s="162" t="inlineStr">
        <is>
          <t xml:space="preserve">  ↳ 커플링</t>
        </is>
      </c>
      <c r="D307" s="162" t="inlineStr">
        <is>
          <t>28mm</t>
        </is>
      </c>
      <c r="E307" s="161" t="inlineStr">
        <is>
          <t>EA</t>
        </is>
      </c>
      <c r="F307" s="163" t="n">
        <v>4</v>
      </c>
      <c r="G307" s="162" t="inlineStr">
        <is>
          <t>13.0m÷3.6</t>
        </is>
      </c>
      <c r="H307" s="161" t="inlineStr">
        <is>
          <t>◆</t>
        </is>
      </c>
    </row>
    <row r="308">
      <c r="A308" s="161" t="inlineStr"/>
      <c r="B308" s="161" t="inlineStr">
        <is>
          <t>ACC</t>
        </is>
      </c>
      <c r="C308" s="162" t="inlineStr">
        <is>
          <t xml:space="preserve">  ↳ 커넥터</t>
        </is>
      </c>
      <c r="D308" s="162" t="inlineStr">
        <is>
          <t>28mm</t>
        </is>
      </c>
      <c r="E308" s="161" t="inlineStr">
        <is>
          <t>EA</t>
        </is>
      </c>
      <c r="F308" s="163" t="n">
        <v>2</v>
      </c>
      <c r="G308" s="162" t="inlineStr">
        <is>
          <t>양단 2개</t>
        </is>
      </c>
      <c r="H308" s="161" t="inlineStr">
        <is>
          <t>◆</t>
        </is>
      </c>
    </row>
    <row r="309">
      <c r="A309" s="161" t="inlineStr"/>
      <c r="B309" s="161" t="inlineStr">
        <is>
          <t>ACC</t>
        </is>
      </c>
      <c r="C309" s="162" t="inlineStr">
        <is>
          <t xml:space="preserve">  ↳ 부싱</t>
        </is>
      </c>
      <c r="D309" s="162" t="inlineStr">
        <is>
          <t>28mm</t>
        </is>
      </c>
      <c r="E309" s="161" t="inlineStr">
        <is>
          <t>EA</t>
        </is>
      </c>
      <c r="F309" s="163" t="n">
        <v>2</v>
      </c>
      <c r="G309" s="162">
        <f>커넥터수</f>
        <v/>
      </c>
      <c r="H309" s="161" t="inlineStr">
        <is>
          <t>◆</t>
        </is>
      </c>
    </row>
    <row r="310">
      <c r="A310" s="161" t="inlineStr"/>
      <c r="B310" s="161" t="inlineStr">
        <is>
          <t>ACC</t>
        </is>
      </c>
      <c r="C310" s="162" t="inlineStr">
        <is>
          <t xml:space="preserve">  ↳ 로크너트</t>
        </is>
      </c>
      <c r="D310" s="162" t="inlineStr">
        <is>
          <t>28mm</t>
        </is>
      </c>
      <c r="E310" s="161" t="inlineStr">
        <is>
          <t>EA</t>
        </is>
      </c>
      <c r="F310" s="163" t="n">
        <v>4</v>
      </c>
      <c r="G310" s="162">
        <f>커넥터×2</f>
        <v/>
      </c>
      <c r="H310" s="161" t="inlineStr">
        <is>
          <t>◆</t>
        </is>
      </c>
    </row>
    <row r="311">
      <c r="A311" s="161" t="inlineStr"/>
      <c r="B311" s="161" t="inlineStr">
        <is>
          <t>ACC</t>
        </is>
      </c>
      <c r="C311" s="162" t="inlineStr">
        <is>
          <t xml:space="preserve">  ↳ 새들</t>
        </is>
      </c>
      <c r="D311" s="162" t="inlineStr">
        <is>
          <t>28mm</t>
        </is>
      </c>
      <c r="E311" s="161" t="inlineStr">
        <is>
          <t>EA</t>
        </is>
      </c>
      <c r="F311" s="163" t="n">
        <v>9</v>
      </c>
      <c r="G311" s="162" t="inlineStr">
        <is>
          <t>13.0m÷1.5</t>
        </is>
      </c>
      <c r="H311" s="161" t="inlineStr">
        <is>
          <t>◆</t>
        </is>
      </c>
    </row>
    <row r="312" ht="14.25" customHeight="1" s="78">
      <c r="A312" s="158" t="inlineStr">
        <is>
          <t xml:space="preserve">  [38] K10 (SHAKE FOUNTAINETTE COOLER/ORDER PRINTER)</t>
        </is>
      </c>
      <c r="B312" s="174" t="n"/>
      <c r="C312" s="174" t="n"/>
      <c r="D312" s="174" t="n"/>
      <c r="E312" s="174" t="n"/>
      <c r="F312" s="174" t="n"/>
      <c r="G312" s="174" t="n"/>
      <c r="H312" s="175" t="n"/>
    </row>
    <row r="313">
      <c r="A313" s="148" t="n">
        <v>1</v>
      </c>
      <c r="B313" s="148" t="inlineStr">
        <is>
          <t>MAT</t>
        </is>
      </c>
      <c r="C313" s="149" t="inlineStr">
        <is>
          <t>강제전선관 (ST)</t>
        </is>
      </c>
      <c r="D313" s="149" t="inlineStr">
        <is>
          <t>28mm</t>
        </is>
      </c>
      <c r="E313" s="148" t="inlineStr">
        <is>
          <t>m</t>
        </is>
      </c>
      <c r="F313" s="160" t="n">
        <v>13</v>
      </c>
      <c r="G313" s="149" t="inlineStr">
        <is>
          <t>길이산출 13.0m</t>
        </is>
      </c>
      <c r="H313" s="148" t="inlineStr">
        <is>
          <t>◆</t>
        </is>
      </c>
    </row>
    <row r="314">
      <c r="A314" s="148" t="n">
        <v>2</v>
      </c>
      <c r="B314" s="148" t="inlineStr">
        <is>
          <t>MAT</t>
        </is>
      </c>
      <c r="C314" s="149" t="inlineStr">
        <is>
          <t>F-CV 0.6/1kV</t>
        </is>
      </c>
      <c r="D314" s="149" t="inlineStr">
        <is>
          <t>4㎟ 3C</t>
        </is>
      </c>
      <c r="E314" s="148" t="inlineStr">
        <is>
          <t>m</t>
        </is>
      </c>
      <c r="F314" s="160" t="n">
        <v>39</v>
      </c>
      <c r="G314" s="149" t="inlineStr">
        <is>
          <t>배관13.0m×가닥수</t>
        </is>
      </c>
      <c r="H314" s="148" t="inlineStr">
        <is>
          <t>◆</t>
        </is>
      </c>
    </row>
    <row r="315">
      <c r="A315" s="161" t="inlineStr"/>
      <c r="B315" s="161" t="inlineStr">
        <is>
          <t>ACC</t>
        </is>
      </c>
      <c r="C315" s="162" t="inlineStr">
        <is>
          <t xml:space="preserve">  ↳ 커플링</t>
        </is>
      </c>
      <c r="D315" s="162" t="inlineStr">
        <is>
          <t>28mm</t>
        </is>
      </c>
      <c r="E315" s="161" t="inlineStr">
        <is>
          <t>EA</t>
        </is>
      </c>
      <c r="F315" s="163" t="n">
        <v>4</v>
      </c>
      <c r="G315" s="162" t="inlineStr">
        <is>
          <t>13.0m÷3.6</t>
        </is>
      </c>
      <c r="H315" s="161" t="inlineStr">
        <is>
          <t>◆</t>
        </is>
      </c>
    </row>
    <row r="316">
      <c r="A316" s="161" t="inlineStr"/>
      <c r="B316" s="161" t="inlineStr">
        <is>
          <t>ACC</t>
        </is>
      </c>
      <c r="C316" s="162" t="inlineStr">
        <is>
          <t xml:space="preserve">  ↳ 커넥터</t>
        </is>
      </c>
      <c r="D316" s="162" t="inlineStr">
        <is>
          <t>28mm</t>
        </is>
      </c>
      <c r="E316" s="161" t="inlineStr">
        <is>
          <t>EA</t>
        </is>
      </c>
      <c r="F316" s="163" t="n">
        <v>2</v>
      </c>
      <c r="G316" s="162" t="inlineStr">
        <is>
          <t>양단 2개</t>
        </is>
      </c>
      <c r="H316" s="161" t="inlineStr">
        <is>
          <t>◆</t>
        </is>
      </c>
    </row>
    <row r="317">
      <c r="A317" s="161" t="inlineStr"/>
      <c r="B317" s="161" t="inlineStr">
        <is>
          <t>ACC</t>
        </is>
      </c>
      <c r="C317" s="162" t="inlineStr">
        <is>
          <t xml:space="preserve">  ↳ 부싱</t>
        </is>
      </c>
      <c r="D317" s="162" t="inlineStr">
        <is>
          <t>28mm</t>
        </is>
      </c>
      <c r="E317" s="161" t="inlineStr">
        <is>
          <t>EA</t>
        </is>
      </c>
      <c r="F317" s="163" t="n">
        <v>2</v>
      </c>
      <c r="G317" s="162">
        <f>커넥터수</f>
        <v/>
      </c>
      <c r="H317" s="161" t="inlineStr">
        <is>
          <t>◆</t>
        </is>
      </c>
    </row>
    <row r="318">
      <c r="A318" s="161" t="inlineStr"/>
      <c r="B318" s="161" t="inlineStr">
        <is>
          <t>ACC</t>
        </is>
      </c>
      <c r="C318" s="162" t="inlineStr">
        <is>
          <t xml:space="preserve">  ↳ 로크너트</t>
        </is>
      </c>
      <c r="D318" s="162" t="inlineStr">
        <is>
          <t>28mm</t>
        </is>
      </c>
      <c r="E318" s="161" t="inlineStr">
        <is>
          <t>EA</t>
        </is>
      </c>
      <c r="F318" s="163" t="n">
        <v>4</v>
      </c>
      <c r="G318" s="162">
        <f>커넥터×2</f>
        <v/>
      </c>
      <c r="H318" s="161" t="inlineStr">
        <is>
          <t>◆</t>
        </is>
      </c>
    </row>
    <row r="319">
      <c r="A319" s="161" t="inlineStr"/>
      <c r="B319" s="161" t="inlineStr">
        <is>
          <t>ACC</t>
        </is>
      </c>
      <c r="C319" s="162" t="inlineStr">
        <is>
          <t xml:space="preserve">  ↳ 새들</t>
        </is>
      </c>
      <c r="D319" s="162" t="inlineStr">
        <is>
          <t>28mm</t>
        </is>
      </c>
      <c r="E319" s="161" t="inlineStr">
        <is>
          <t>EA</t>
        </is>
      </c>
      <c r="F319" s="163" t="n">
        <v>9</v>
      </c>
      <c r="G319" s="162" t="inlineStr">
        <is>
          <t>13.0m÷1.5</t>
        </is>
      </c>
      <c r="H319" s="161" t="inlineStr">
        <is>
          <t>◆</t>
        </is>
      </c>
    </row>
    <row r="320" ht="14.25" customHeight="1" s="78">
      <c r="A320" s="158" t="inlineStr">
        <is>
          <t xml:space="preserve">  [39] K12 (FOUNTAIN DISPENSER)</t>
        </is>
      </c>
      <c r="B320" s="174" t="n"/>
      <c r="C320" s="174" t="n"/>
      <c r="D320" s="174" t="n"/>
      <c r="E320" s="174" t="n"/>
      <c r="F320" s="174" t="n"/>
      <c r="G320" s="174" t="n"/>
      <c r="H320" s="175" t="n"/>
    </row>
    <row r="321">
      <c r="A321" s="148" t="n">
        <v>1</v>
      </c>
      <c r="B321" s="148" t="inlineStr">
        <is>
          <t>MAT</t>
        </is>
      </c>
      <c r="C321" s="149" t="inlineStr">
        <is>
          <t>강제전선관 (ST)</t>
        </is>
      </c>
      <c r="D321" s="149" t="inlineStr">
        <is>
          <t>28mm</t>
        </is>
      </c>
      <c r="E321" s="148" t="inlineStr">
        <is>
          <t>m</t>
        </is>
      </c>
      <c r="F321" s="160" t="n">
        <v>13</v>
      </c>
      <c r="G321" s="149" t="inlineStr">
        <is>
          <t>길이산출 13.0m</t>
        </is>
      </c>
      <c r="H321" s="148" t="inlineStr">
        <is>
          <t>◆</t>
        </is>
      </c>
    </row>
    <row r="322">
      <c r="A322" s="148" t="n">
        <v>2</v>
      </c>
      <c r="B322" s="148" t="inlineStr">
        <is>
          <t>MAT</t>
        </is>
      </c>
      <c r="C322" s="149" t="inlineStr">
        <is>
          <t>F-CV 0.6/1kV</t>
        </is>
      </c>
      <c r="D322" s="149" t="inlineStr">
        <is>
          <t>4㎟ 3C</t>
        </is>
      </c>
      <c r="E322" s="148" t="inlineStr">
        <is>
          <t>m</t>
        </is>
      </c>
      <c r="F322" s="160" t="n">
        <v>39</v>
      </c>
      <c r="G322" s="149" t="inlineStr">
        <is>
          <t>배관13.0m×가닥수</t>
        </is>
      </c>
      <c r="H322" s="148" t="inlineStr">
        <is>
          <t>◆</t>
        </is>
      </c>
    </row>
    <row r="323">
      <c r="A323" s="161" t="inlineStr"/>
      <c r="B323" s="161" t="inlineStr">
        <is>
          <t>ACC</t>
        </is>
      </c>
      <c r="C323" s="162" t="inlineStr">
        <is>
          <t xml:space="preserve">  ↳ 커플링</t>
        </is>
      </c>
      <c r="D323" s="162" t="inlineStr">
        <is>
          <t>28mm</t>
        </is>
      </c>
      <c r="E323" s="161" t="inlineStr">
        <is>
          <t>EA</t>
        </is>
      </c>
      <c r="F323" s="163" t="n">
        <v>4</v>
      </c>
      <c r="G323" s="162" t="inlineStr">
        <is>
          <t>13.0m÷3.6</t>
        </is>
      </c>
      <c r="H323" s="161" t="inlineStr">
        <is>
          <t>◆</t>
        </is>
      </c>
    </row>
    <row r="324">
      <c r="A324" s="161" t="inlineStr"/>
      <c r="B324" s="161" t="inlineStr">
        <is>
          <t>ACC</t>
        </is>
      </c>
      <c r="C324" s="162" t="inlineStr">
        <is>
          <t xml:space="preserve">  ↳ 커넥터</t>
        </is>
      </c>
      <c r="D324" s="162" t="inlineStr">
        <is>
          <t>28mm</t>
        </is>
      </c>
      <c r="E324" s="161" t="inlineStr">
        <is>
          <t>EA</t>
        </is>
      </c>
      <c r="F324" s="163" t="n">
        <v>2</v>
      </c>
      <c r="G324" s="162" t="inlineStr">
        <is>
          <t>양단 2개</t>
        </is>
      </c>
      <c r="H324" s="161" t="inlineStr">
        <is>
          <t>◆</t>
        </is>
      </c>
    </row>
    <row r="325">
      <c r="A325" s="161" t="inlineStr"/>
      <c r="B325" s="161" t="inlineStr">
        <is>
          <t>ACC</t>
        </is>
      </c>
      <c r="C325" s="162" t="inlineStr">
        <is>
          <t xml:space="preserve">  ↳ 부싱</t>
        </is>
      </c>
      <c r="D325" s="162" t="inlineStr">
        <is>
          <t>28mm</t>
        </is>
      </c>
      <c r="E325" s="161" t="inlineStr">
        <is>
          <t>EA</t>
        </is>
      </c>
      <c r="F325" s="163" t="n">
        <v>2</v>
      </c>
      <c r="G325" s="162">
        <f>커넥터수</f>
        <v/>
      </c>
      <c r="H325" s="161" t="inlineStr">
        <is>
          <t>◆</t>
        </is>
      </c>
    </row>
    <row r="326">
      <c r="A326" s="161" t="inlineStr"/>
      <c r="B326" s="161" t="inlineStr">
        <is>
          <t>ACC</t>
        </is>
      </c>
      <c r="C326" s="162" t="inlineStr">
        <is>
          <t xml:space="preserve">  ↳ 로크너트</t>
        </is>
      </c>
      <c r="D326" s="162" t="inlineStr">
        <is>
          <t>28mm</t>
        </is>
      </c>
      <c r="E326" s="161" t="inlineStr">
        <is>
          <t>EA</t>
        </is>
      </c>
      <c r="F326" s="163" t="n">
        <v>4</v>
      </c>
      <c r="G326" s="162">
        <f>커넥터×2</f>
        <v/>
      </c>
      <c r="H326" s="161" t="inlineStr">
        <is>
          <t>◆</t>
        </is>
      </c>
    </row>
    <row r="327">
      <c r="A327" s="161" t="inlineStr"/>
      <c r="B327" s="161" t="inlineStr">
        <is>
          <t>ACC</t>
        </is>
      </c>
      <c r="C327" s="162" t="inlineStr">
        <is>
          <t xml:space="preserve">  ↳ 새들</t>
        </is>
      </c>
      <c r="D327" s="162" t="inlineStr">
        <is>
          <t>28mm</t>
        </is>
      </c>
      <c r="E327" s="161" t="inlineStr">
        <is>
          <t>EA</t>
        </is>
      </c>
      <c r="F327" s="163" t="n">
        <v>9</v>
      </c>
      <c r="G327" s="162" t="inlineStr">
        <is>
          <t>13.0m÷1.5</t>
        </is>
      </c>
      <c r="H327" s="161" t="inlineStr">
        <is>
          <t>◆</t>
        </is>
      </c>
    </row>
    <row r="328" ht="14.25" customHeight="1" s="78">
      <c r="A328" s="158" t="inlineStr">
        <is>
          <t xml:space="preserve">  [40] K14 (FOUNTAIN DISPENSER)</t>
        </is>
      </c>
      <c r="B328" s="174" t="n"/>
      <c r="C328" s="174" t="n"/>
      <c r="D328" s="174" t="n"/>
      <c r="E328" s="174" t="n"/>
      <c r="F328" s="174" t="n"/>
      <c r="G328" s="174" t="n"/>
      <c r="H328" s="175" t="n"/>
    </row>
    <row r="329">
      <c r="A329" s="148" t="n">
        <v>1</v>
      </c>
      <c r="B329" s="148" t="inlineStr">
        <is>
          <t>MAT</t>
        </is>
      </c>
      <c r="C329" s="149" t="inlineStr">
        <is>
          <t>강제전선관 (ST)</t>
        </is>
      </c>
      <c r="D329" s="149" t="inlineStr">
        <is>
          <t>28mm</t>
        </is>
      </c>
      <c r="E329" s="148" t="inlineStr">
        <is>
          <t>m</t>
        </is>
      </c>
      <c r="F329" s="160" t="n">
        <v>13</v>
      </c>
      <c r="G329" s="149" t="inlineStr">
        <is>
          <t>길이산출 13.0m</t>
        </is>
      </c>
      <c r="H329" s="148" t="inlineStr">
        <is>
          <t>◆</t>
        </is>
      </c>
    </row>
    <row r="330">
      <c r="A330" s="148" t="n">
        <v>2</v>
      </c>
      <c r="B330" s="148" t="inlineStr">
        <is>
          <t>MAT</t>
        </is>
      </c>
      <c r="C330" s="149" t="inlineStr">
        <is>
          <t>F-CV 0.6/1kV</t>
        </is>
      </c>
      <c r="D330" s="149" t="inlineStr">
        <is>
          <t>4㎟ 3C</t>
        </is>
      </c>
      <c r="E330" s="148" t="inlineStr">
        <is>
          <t>m</t>
        </is>
      </c>
      <c r="F330" s="160" t="n">
        <v>39</v>
      </c>
      <c r="G330" s="149" t="inlineStr">
        <is>
          <t>배관13.0m×가닥수</t>
        </is>
      </c>
      <c r="H330" s="148" t="inlineStr">
        <is>
          <t>◆</t>
        </is>
      </c>
    </row>
    <row r="331">
      <c r="A331" s="161" t="inlineStr"/>
      <c r="B331" s="161" t="inlineStr">
        <is>
          <t>ACC</t>
        </is>
      </c>
      <c r="C331" s="162" t="inlineStr">
        <is>
          <t xml:space="preserve">  ↳ 커플링</t>
        </is>
      </c>
      <c r="D331" s="162" t="inlineStr">
        <is>
          <t>28mm</t>
        </is>
      </c>
      <c r="E331" s="161" t="inlineStr">
        <is>
          <t>EA</t>
        </is>
      </c>
      <c r="F331" s="163" t="n">
        <v>4</v>
      </c>
      <c r="G331" s="162" t="inlineStr">
        <is>
          <t>13.0m÷3.6</t>
        </is>
      </c>
      <c r="H331" s="161" t="inlineStr">
        <is>
          <t>◆</t>
        </is>
      </c>
    </row>
    <row r="332">
      <c r="A332" s="161" t="inlineStr"/>
      <c r="B332" s="161" t="inlineStr">
        <is>
          <t>ACC</t>
        </is>
      </c>
      <c r="C332" s="162" t="inlineStr">
        <is>
          <t xml:space="preserve">  ↳ 커넥터</t>
        </is>
      </c>
      <c r="D332" s="162" t="inlineStr">
        <is>
          <t>28mm</t>
        </is>
      </c>
      <c r="E332" s="161" t="inlineStr">
        <is>
          <t>EA</t>
        </is>
      </c>
      <c r="F332" s="163" t="n">
        <v>2</v>
      </c>
      <c r="G332" s="162" t="inlineStr">
        <is>
          <t>양단 2개</t>
        </is>
      </c>
      <c r="H332" s="161" t="inlineStr">
        <is>
          <t>◆</t>
        </is>
      </c>
    </row>
    <row r="333">
      <c r="A333" s="161" t="inlineStr"/>
      <c r="B333" s="161" t="inlineStr">
        <is>
          <t>ACC</t>
        </is>
      </c>
      <c r="C333" s="162" t="inlineStr">
        <is>
          <t xml:space="preserve">  ↳ 부싱</t>
        </is>
      </c>
      <c r="D333" s="162" t="inlineStr">
        <is>
          <t>28mm</t>
        </is>
      </c>
      <c r="E333" s="161" t="inlineStr">
        <is>
          <t>EA</t>
        </is>
      </c>
      <c r="F333" s="163" t="n">
        <v>2</v>
      </c>
      <c r="G333" s="162">
        <f>커넥터수</f>
        <v/>
      </c>
      <c r="H333" s="161" t="inlineStr">
        <is>
          <t>◆</t>
        </is>
      </c>
    </row>
    <row r="334">
      <c r="A334" s="161" t="inlineStr"/>
      <c r="B334" s="161" t="inlineStr">
        <is>
          <t>ACC</t>
        </is>
      </c>
      <c r="C334" s="162" t="inlineStr">
        <is>
          <t xml:space="preserve">  ↳ 로크너트</t>
        </is>
      </c>
      <c r="D334" s="162" t="inlineStr">
        <is>
          <t>28mm</t>
        </is>
      </c>
      <c r="E334" s="161" t="inlineStr">
        <is>
          <t>EA</t>
        </is>
      </c>
      <c r="F334" s="163" t="n">
        <v>4</v>
      </c>
      <c r="G334" s="162">
        <f>커넥터×2</f>
        <v/>
      </c>
      <c r="H334" s="161" t="inlineStr">
        <is>
          <t>◆</t>
        </is>
      </c>
    </row>
    <row r="335">
      <c r="A335" s="161" t="inlineStr"/>
      <c r="B335" s="161" t="inlineStr">
        <is>
          <t>ACC</t>
        </is>
      </c>
      <c r="C335" s="162" t="inlineStr">
        <is>
          <t xml:space="preserve">  ↳ 새들</t>
        </is>
      </c>
      <c r="D335" s="162" t="inlineStr">
        <is>
          <t>28mm</t>
        </is>
      </c>
      <c r="E335" s="161" t="inlineStr">
        <is>
          <t>EA</t>
        </is>
      </c>
      <c r="F335" s="163" t="n">
        <v>9</v>
      </c>
      <c r="G335" s="162" t="inlineStr">
        <is>
          <t>13.0m÷1.5</t>
        </is>
      </c>
      <c r="H335" s="161" t="inlineStr">
        <is>
          <t>◆</t>
        </is>
      </c>
    </row>
    <row r="336" ht="14.25" customHeight="1" s="78">
      <c r="A336" s="158" t="inlineStr">
        <is>
          <t xml:space="preserve">  [41] K16 (Water Booster)</t>
        </is>
      </c>
      <c r="B336" s="174" t="n"/>
      <c r="C336" s="174" t="n"/>
      <c r="D336" s="174" t="n"/>
      <c r="E336" s="174" t="n"/>
      <c r="F336" s="174" t="n"/>
      <c r="G336" s="174" t="n"/>
      <c r="H336" s="175" t="n"/>
    </row>
    <row r="337">
      <c r="A337" s="148" t="n">
        <v>1</v>
      </c>
      <c r="B337" s="148" t="inlineStr">
        <is>
          <t>MAT</t>
        </is>
      </c>
      <c r="C337" s="149" t="inlineStr">
        <is>
          <t>강제전선관 (ST)</t>
        </is>
      </c>
      <c r="D337" s="149" t="inlineStr">
        <is>
          <t>28mm</t>
        </is>
      </c>
      <c r="E337" s="148" t="inlineStr">
        <is>
          <t>m</t>
        </is>
      </c>
      <c r="F337" s="160" t="n">
        <v>13</v>
      </c>
      <c r="G337" s="149" t="inlineStr">
        <is>
          <t>길이산출 13.0m</t>
        </is>
      </c>
      <c r="H337" s="148" t="inlineStr">
        <is>
          <t>◆</t>
        </is>
      </c>
    </row>
    <row r="338">
      <c r="A338" s="148" t="n">
        <v>2</v>
      </c>
      <c r="B338" s="148" t="inlineStr">
        <is>
          <t>MAT</t>
        </is>
      </c>
      <c r="C338" s="149" t="inlineStr">
        <is>
          <t>F-CV 0.6/1kV</t>
        </is>
      </c>
      <c r="D338" s="149" t="inlineStr">
        <is>
          <t>4㎟ 3C</t>
        </is>
      </c>
      <c r="E338" s="148" t="inlineStr">
        <is>
          <t>m</t>
        </is>
      </c>
      <c r="F338" s="160" t="n">
        <v>39</v>
      </c>
      <c r="G338" s="149" t="inlineStr">
        <is>
          <t>배관13.0m×가닥수</t>
        </is>
      </c>
      <c r="H338" s="148" t="inlineStr">
        <is>
          <t>◆</t>
        </is>
      </c>
    </row>
    <row r="339">
      <c r="A339" s="161" t="inlineStr"/>
      <c r="B339" s="161" t="inlineStr">
        <is>
          <t>ACC</t>
        </is>
      </c>
      <c r="C339" s="162" t="inlineStr">
        <is>
          <t xml:space="preserve">  ↳ 커플링</t>
        </is>
      </c>
      <c r="D339" s="162" t="inlineStr">
        <is>
          <t>28mm</t>
        </is>
      </c>
      <c r="E339" s="161" t="inlineStr">
        <is>
          <t>EA</t>
        </is>
      </c>
      <c r="F339" s="163" t="n">
        <v>4</v>
      </c>
      <c r="G339" s="162" t="inlineStr">
        <is>
          <t>13.0m÷3.6</t>
        </is>
      </c>
      <c r="H339" s="161" t="inlineStr">
        <is>
          <t>◆</t>
        </is>
      </c>
    </row>
    <row r="340">
      <c r="A340" s="161" t="inlineStr"/>
      <c r="B340" s="161" t="inlineStr">
        <is>
          <t>ACC</t>
        </is>
      </c>
      <c r="C340" s="162" t="inlineStr">
        <is>
          <t xml:space="preserve">  ↳ 커넥터</t>
        </is>
      </c>
      <c r="D340" s="162" t="inlineStr">
        <is>
          <t>28mm</t>
        </is>
      </c>
      <c r="E340" s="161" t="inlineStr">
        <is>
          <t>EA</t>
        </is>
      </c>
      <c r="F340" s="163" t="n">
        <v>2</v>
      </c>
      <c r="G340" s="162" t="inlineStr">
        <is>
          <t>양단 2개</t>
        </is>
      </c>
      <c r="H340" s="161" t="inlineStr">
        <is>
          <t>◆</t>
        </is>
      </c>
    </row>
    <row r="341">
      <c r="A341" s="161" t="inlineStr"/>
      <c r="B341" s="161" t="inlineStr">
        <is>
          <t>ACC</t>
        </is>
      </c>
      <c r="C341" s="162" t="inlineStr">
        <is>
          <t xml:space="preserve">  ↳ 부싱</t>
        </is>
      </c>
      <c r="D341" s="162" t="inlineStr">
        <is>
          <t>28mm</t>
        </is>
      </c>
      <c r="E341" s="161" t="inlineStr">
        <is>
          <t>EA</t>
        </is>
      </c>
      <c r="F341" s="163" t="n">
        <v>2</v>
      </c>
      <c r="G341" s="162">
        <f>커넥터수</f>
        <v/>
      </c>
      <c r="H341" s="161" t="inlineStr">
        <is>
          <t>◆</t>
        </is>
      </c>
    </row>
    <row r="342">
      <c r="A342" s="161" t="inlineStr"/>
      <c r="B342" s="161" t="inlineStr">
        <is>
          <t>ACC</t>
        </is>
      </c>
      <c r="C342" s="162" t="inlineStr">
        <is>
          <t xml:space="preserve">  ↳ 로크너트</t>
        </is>
      </c>
      <c r="D342" s="162" t="inlineStr">
        <is>
          <t>28mm</t>
        </is>
      </c>
      <c r="E342" s="161" t="inlineStr">
        <is>
          <t>EA</t>
        </is>
      </c>
      <c r="F342" s="163" t="n">
        <v>4</v>
      </c>
      <c r="G342" s="162">
        <f>커넥터×2</f>
        <v/>
      </c>
      <c r="H342" s="161" t="inlineStr">
        <is>
          <t>◆</t>
        </is>
      </c>
    </row>
    <row r="343">
      <c r="A343" s="161" t="inlineStr"/>
      <c r="B343" s="161" t="inlineStr">
        <is>
          <t>ACC</t>
        </is>
      </c>
      <c r="C343" s="162" t="inlineStr">
        <is>
          <t xml:space="preserve">  ↳ 새들</t>
        </is>
      </c>
      <c r="D343" s="162" t="inlineStr">
        <is>
          <t>28mm</t>
        </is>
      </c>
      <c r="E343" s="161" t="inlineStr">
        <is>
          <t>EA</t>
        </is>
      </c>
      <c r="F343" s="163" t="n">
        <v>9</v>
      </c>
      <c r="G343" s="162" t="inlineStr">
        <is>
          <t>13.0m÷1.5</t>
        </is>
      </c>
      <c r="H343" s="161" t="inlineStr">
        <is>
          <t>◆</t>
        </is>
      </c>
    </row>
    <row r="344">
      <c r="A344" s="161" t="inlineStr"/>
      <c r="B344" s="161" t="inlineStr">
        <is>
          <t>SUP</t>
        </is>
      </c>
      <c r="C344" s="162" t="inlineStr">
        <is>
          <t>전산볼트 M10 × 1m</t>
        </is>
      </c>
      <c r="D344" s="162" t="inlineStr">
        <is>
          <t>M10</t>
        </is>
      </c>
      <c r="E344" s="161" t="inlineStr">
        <is>
          <t>EA</t>
        </is>
      </c>
      <c r="F344" s="163" t="n">
        <v>156</v>
      </c>
      <c r="G344" s="162" t="inlineStr">
        <is>
          <t>총배관234.0m÷1.5</t>
        </is>
      </c>
      <c r="H344" s="161" t="inlineStr">
        <is>
          <t>◆</t>
        </is>
      </c>
    </row>
    <row r="345">
      <c r="A345" s="161" t="inlineStr"/>
      <c r="B345" s="161" t="inlineStr">
        <is>
          <t>SUP</t>
        </is>
      </c>
      <c r="C345" s="162" t="inlineStr">
        <is>
          <t>유크램프</t>
        </is>
      </c>
      <c r="D345" s="162" t="inlineStr">
        <is>
          <t>공용</t>
        </is>
      </c>
      <c r="E345" s="161" t="inlineStr">
        <is>
          <t>EA</t>
        </is>
      </c>
      <c r="F345" s="163" t="n">
        <v>156</v>
      </c>
      <c r="G345" s="162" t="inlineStr">
        <is>
          <t>총배관234.0m÷1.5</t>
        </is>
      </c>
      <c r="H345" s="161" t="inlineStr">
        <is>
          <t>◆</t>
        </is>
      </c>
    </row>
    <row r="346">
      <c r="A346" s="161" t="inlineStr"/>
      <c r="B346" s="161" t="inlineStr">
        <is>
          <t>CMN</t>
        </is>
      </c>
      <c r="C346" s="162" t="inlineStr">
        <is>
          <t>아울렛 박스 (4각)</t>
        </is>
      </c>
      <c r="D346" s="162" t="inlineStr">
        <is>
          <t>4각</t>
        </is>
      </c>
      <c r="E346" s="161" t="inlineStr">
        <is>
          <t>EA</t>
        </is>
      </c>
      <c r="F346" s="163" t="n">
        <v>36</v>
      </c>
      <c r="G346" s="162" t="inlineStr">
        <is>
          <t>접속점36개</t>
        </is>
      </c>
      <c r="H346" s="161" t="inlineStr">
        <is>
          <t>▲</t>
        </is>
      </c>
    </row>
    <row r="347">
      <c r="A347" s="161" t="inlineStr"/>
      <c r="B347" s="161" t="inlineStr">
        <is>
          <t>CMN</t>
        </is>
      </c>
      <c r="C347" s="162" t="inlineStr">
        <is>
          <t>풀박스</t>
        </is>
      </c>
      <c r="D347" s="162" t="inlineStr">
        <is>
          <t>200×200</t>
        </is>
      </c>
      <c r="E347" s="161" t="inlineStr">
        <is>
          <t>EA</t>
        </is>
      </c>
      <c r="F347" s="163" t="n">
        <v>7</v>
      </c>
      <c r="G347" s="162" t="inlineStr">
        <is>
          <t>234.0m÷30</t>
        </is>
      </c>
      <c r="H347" s="161" t="inlineStr">
        <is>
          <t>▲</t>
        </is>
      </c>
    </row>
    <row r="348">
      <c r="A348" s="161" t="inlineStr"/>
      <c r="B348" s="161" t="inlineStr">
        <is>
          <t>CMN</t>
        </is>
      </c>
      <c r="C348" s="162" t="inlineStr">
        <is>
          <t>와이어 커넥터</t>
        </is>
      </c>
      <c r="D348" s="162" t="inlineStr">
        <is>
          <t>중</t>
        </is>
      </c>
      <c r="E348" s="161" t="inlineStr">
        <is>
          <t>셋</t>
        </is>
      </c>
      <c r="F348" s="163" t="n">
        <v>108</v>
      </c>
      <c r="G348" s="162" t="inlineStr">
        <is>
          <t>접속점36×3</t>
        </is>
      </c>
      <c r="H348" s="161" t="inlineStr">
        <is>
          <t>▲</t>
        </is>
      </c>
    </row>
    <row r="349">
      <c r="A349" s="161" t="inlineStr"/>
      <c r="B349" s="161" t="inlineStr">
        <is>
          <t>CMN</t>
        </is>
      </c>
      <c r="C349" s="162" t="inlineStr">
        <is>
          <t>PVC 테이프</t>
        </is>
      </c>
      <c r="D349" s="162" t="inlineStr">
        <is>
          <t>19mm</t>
        </is>
      </c>
      <c r="E349" s="161" t="inlineStr">
        <is>
          <t>롤</t>
        </is>
      </c>
      <c r="F349" s="163" t="n">
        <v>4</v>
      </c>
      <c r="G349" s="162" t="inlineStr">
        <is>
          <t>접속점36÷10</t>
        </is>
      </c>
      <c r="H349" s="161" t="inlineStr">
        <is>
          <t>▲</t>
        </is>
      </c>
    </row>
    <row r="350" ht="14.25" customHeight="1" s="78">
      <c r="A350" s="165" t="inlineStr">
        <is>
          <t>( 1F 주방동력공사 소계 )</t>
        </is>
      </c>
      <c r="B350" s="174" t="n"/>
      <c r="C350" s="174" t="n"/>
      <c r="D350" s="174" t="n"/>
      <c r="E350" s="174" t="n"/>
      <c r="F350" s="174" t="n"/>
      <c r="G350" s="174" t="n"/>
      <c r="H350" s="175" t="n"/>
    </row>
    <row r="351">
      <c r="A351" s="167" t="inlineStr"/>
      <c r="B351" s="167" t="inlineStr">
        <is>
          <t>MAT</t>
        </is>
      </c>
      <c r="C351" s="168" t="inlineStr">
        <is>
          <t>F-CV 0.6/1kV</t>
        </is>
      </c>
      <c r="D351" s="168" t="inlineStr">
        <is>
          <t>4㎟ 3C</t>
        </is>
      </c>
      <c r="E351" s="167" t="inlineStr">
        <is>
          <t>m</t>
        </is>
      </c>
      <c r="F351" s="169" t="n">
        <v>624</v>
      </c>
      <c r="G351" s="168" t="inlineStr">
        <is>
          <t>8(39.0)+9(39.0)+10(39.0)+...(16회로)</t>
        </is>
      </c>
      <c r="H351" s="167" t="inlineStr"/>
    </row>
    <row r="352">
      <c r="A352" s="167" t="inlineStr"/>
      <c r="B352" s="167" t="inlineStr">
        <is>
          <t>MAT</t>
        </is>
      </c>
      <c r="C352" s="168" t="inlineStr">
        <is>
          <t>F-CV 0.6/1kV</t>
        </is>
      </c>
      <c r="D352" s="168" t="inlineStr">
        <is>
          <t>6㎟ 4C</t>
        </is>
      </c>
      <c r="E352" s="167" t="inlineStr">
        <is>
          <t>m</t>
        </is>
      </c>
      <c r="F352" s="169" t="n">
        <v>104</v>
      </c>
      <c r="G352" s="168" t="inlineStr">
        <is>
          <t>6(52.0)+32(52.0)</t>
        </is>
      </c>
      <c r="H352" s="167" t="inlineStr"/>
    </row>
    <row r="353">
      <c r="A353" s="167" t="inlineStr"/>
      <c r="B353" s="167" t="inlineStr">
        <is>
          <t>MAT</t>
        </is>
      </c>
      <c r="C353" s="168" t="inlineStr">
        <is>
          <t>강제전선관 (ST)</t>
        </is>
      </c>
      <c r="D353" s="168" t="inlineStr">
        <is>
          <t>28mm</t>
        </is>
      </c>
      <c r="E353" s="167" t="inlineStr">
        <is>
          <t>m</t>
        </is>
      </c>
      <c r="F353" s="169" t="n">
        <v>208</v>
      </c>
      <c r="G353" s="168" t="inlineStr">
        <is>
          <t>8(13.0)+9(13.0)+10(13.0)+...(16회로)</t>
        </is>
      </c>
      <c r="H353" s="167" t="inlineStr"/>
    </row>
    <row r="354">
      <c r="A354" s="167" t="inlineStr"/>
      <c r="B354" s="167" t="inlineStr">
        <is>
          <t>MAT</t>
        </is>
      </c>
      <c r="C354" s="168" t="inlineStr">
        <is>
          <t>강제전선관 (ST)</t>
        </is>
      </c>
      <c r="D354" s="168" t="inlineStr">
        <is>
          <t>36mm</t>
        </is>
      </c>
      <c r="E354" s="167" t="inlineStr">
        <is>
          <t>m</t>
        </is>
      </c>
      <c r="F354" s="169" t="n">
        <v>26</v>
      </c>
      <c r="G354" s="168" t="inlineStr">
        <is>
          <t>6(13.0)+32(13.0)</t>
        </is>
      </c>
      <c r="H354" s="167" t="inlineStr"/>
    </row>
    <row r="355">
      <c r="A355" s="167" t="inlineStr"/>
      <c r="B355" s="167" t="inlineStr">
        <is>
          <t>ACC</t>
        </is>
      </c>
      <c r="C355" s="168" t="inlineStr">
        <is>
          <t>로크너트</t>
        </is>
      </c>
      <c r="D355" s="168" t="inlineStr">
        <is>
          <t>28mm</t>
        </is>
      </c>
      <c r="E355" s="167" t="inlineStr">
        <is>
          <t>EA</t>
        </is>
      </c>
      <c r="F355" s="170" t="n">
        <v>64</v>
      </c>
      <c r="G355" s="168" t="inlineStr">
        <is>
          <t>8(4)+9(4)+10(4)+...(16회로)</t>
        </is>
      </c>
      <c r="H355" s="167" t="inlineStr"/>
    </row>
    <row r="356">
      <c r="A356" s="167" t="inlineStr"/>
      <c r="B356" s="167" t="inlineStr">
        <is>
          <t>ACC</t>
        </is>
      </c>
      <c r="C356" s="168" t="inlineStr">
        <is>
          <t>로크너트</t>
        </is>
      </c>
      <c r="D356" s="168" t="inlineStr">
        <is>
          <t>36mm</t>
        </is>
      </c>
      <c r="E356" s="167" t="inlineStr">
        <is>
          <t>EA</t>
        </is>
      </c>
      <c r="F356" s="170" t="n">
        <v>8</v>
      </c>
      <c r="G356" s="168" t="inlineStr">
        <is>
          <t>6(4)+32(4)</t>
        </is>
      </c>
      <c r="H356" s="167" t="inlineStr"/>
    </row>
    <row r="357">
      <c r="A357" s="167" t="inlineStr"/>
      <c r="B357" s="167" t="inlineStr">
        <is>
          <t>ACC</t>
        </is>
      </c>
      <c r="C357" s="168" t="inlineStr">
        <is>
          <t>부싱</t>
        </is>
      </c>
      <c r="D357" s="168" t="inlineStr">
        <is>
          <t>28mm</t>
        </is>
      </c>
      <c r="E357" s="167" t="inlineStr">
        <is>
          <t>EA</t>
        </is>
      </c>
      <c r="F357" s="170" t="n">
        <v>32</v>
      </c>
      <c r="G357" s="168" t="inlineStr">
        <is>
          <t>8(2)+9(2)+10(2)+...(16회로)</t>
        </is>
      </c>
      <c r="H357" s="167" t="inlineStr"/>
    </row>
    <row r="358">
      <c r="A358" s="167" t="inlineStr"/>
      <c r="B358" s="167" t="inlineStr">
        <is>
          <t>ACC</t>
        </is>
      </c>
      <c r="C358" s="168" t="inlineStr">
        <is>
          <t>부싱</t>
        </is>
      </c>
      <c r="D358" s="168" t="inlineStr">
        <is>
          <t>36mm</t>
        </is>
      </c>
      <c r="E358" s="167" t="inlineStr">
        <is>
          <t>EA</t>
        </is>
      </c>
      <c r="F358" s="170" t="n">
        <v>4</v>
      </c>
      <c r="G358" s="168" t="inlineStr">
        <is>
          <t>6(2)+32(2)</t>
        </is>
      </c>
      <c r="H358" s="167" t="inlineStr"/>
    </row>
    <row r="359">
      <c r="A359" s="167" t="inlineStr"/>
      <c r="B359" s="167" t="inlineStr">
        <is>
          <t>ACC</t>
        </is>
      </c>
      <c r="C359" s="168" t="inlineStr">
        <is>
          <t>새들</t>
        </is>
      </c>
      <c r="D359" s="168" t="inlineStr">
        <is>
          <t>28mm</t>
        </is>
      </c>
      <c r="E359" s="167" t="inlineStr">
        <is>
          <t>EA</t>
        </is>
      </c>
      <c r="F359" s="170" t="n">
        <v>144</v>
      </c>
      <c r="G359" s="168" t="inlineStr">
        <is>
          <t>8(9)+9(9)+10(9)+...(16회로)</t>
        </is>
      </c>
      <c r="H359" s="167" t="inlineStr"/>
    </row>
    <row r="360">
      <c r="A360" s="167" t="inlineStr"/>
      <c r="B360" s="167" t="inlineStr">
        <is>
          <t>ACC</t>
        </is>
      </c>
      <c r="C360" s="168" t="inlineStr">
        <is>
          <t>새들</t>
        </is>
      </c>
      <c r="D360" s="168" t="inlineStr">
        <is>
          <t>36mm</t>
        </is>
      </c>
      <c r="E360" s="167" t="inlineStr">
        <is>
          <t>EA</t>
        </is>
      </c>
      <c r="F360" s="170" t="n">
        <v>18</v>
      </c>
      <c r="G360" s="168" t="inlineStr">
        <is>
          <t>6(9)+32(9)</t>
        </is>
      </c>
      <c r="H360" s="167" t="inlineStr"/>
    </row>
    <row r="361">
      <c r="A361" s="167" t="inlineStr"/>
      <c r="B361" s="167" t="inlineStr">
        <is>
          <t>ACC</t>
        </is>
      </c>
      <c r="C361" s="168" t="inlineStr">
        <is>
          <t>커넥터</t>
        </is>
      </c>
      <c r="D361" s="168" t="inlineStr">
        <is>
          <t>28mm</t>
        </is>
      </c>
      <c r="E361" s="167" t="inlineStr">
        <is>
          <t>EA</t>
        </is>
      </c>
      <c r="F361" s="170" t="n">
        <v>32</v>
      </c>
      <c r="G361" s="168" t="inlineStr">
        <is>
          <t>8(2)+9(2)+10(2)+...(16회로)</t>
        </is>
      </c>
      <c r="H361" s="167" t="inlineStr"/>
    </row>
    <row r="362">
      <c r="A362" s="167" t="inlineStr"/>
      <c r="B362" s="167" t="inlineStr">
        <is>
          <t>ACC</t>
        </is>
      </c>
      <c r="C362" s="168" t="inlineStr">
        <is>
          <t>커넥터</t>
        </is>
      </c>
      <c r="D362" s="168" t="inlineStr">
        <is>
          <t>36mm</t>
        </is>
      </c>
      <c r="E362" s="167" t="inlineStr">
        <is>
          <t>EA</t>
        </is>
      </c>
      <c r="F362" s="170" t="n">
        <v>4</v>
      </c>
      <c r="G362" s="168" t="inlineStr">
        <is>
          <t>6(2)+32(2)</t>
        </is>
      </c>
      <c r="H362" s="167" t="inlineStr"/>
    </row>
    <row r="363">
      <c r="A363" s="167" t="inlineStr"/>
      <c r="B363" s="167" t="inlineStr">
        <is>
          <t>ACC</t>
        </is>
      </c>
      <c r="C363" s="168" t="inlineStr">
        <is>
          <t>커플링</t>
        </is>
      </c>
      <c r="D363" s="168" t="inlineStr">
        <is>
          <t>28mm</t>
        </is>
      </c>
      <c r="E363" s="167" t="inlineStr">
        <is>
          <t>EA</t>
        </is>
      </c>
      <c r="F363" s="170" t="n">
        <v>64</v>
      </c>
      <c r="G363" s="168" t="inlineStr">
        <is>
          <t>8(4)+9(4)+10(4)+...(16회로)</t>
        </is>
      </c>
      <c r="H363" s="167" t="inlineStr"/>
    </row>
    <row r="364">
      <c r="A364" s="167" t="inlineStr"/>
      <c r="B364" s="167" t="inlineStr">
        <is>
          <t>ACC</t>
        </is>
      </c>
      <c r="C364" s="168" t="inlineStr">
        <is>
          <t>커플링</t>
        </is>
      </c>
      <c r="D364" s="168" t="inlineStr">
        <is>
          <t>36mm</t>
        </is>
      </c>
      <c r="E364" s="167" t="inlineStr">
        <is>
          <t>EA</t>
        </is>
      </c>
      <c r="F364" s="170" t="n">
        <v>8</v>
      </c>
      <c r="G364" s="168" t="inlineStr">
        <is>
          <t>6(4)+32(4)</t>
        </is>
      </c>
      <c r="H364" s="167" t="inlineStr"/>
    </row>
    <row r="365">
      <c r="A365" s="167" t="inlineStr"/>
      <c r="B365" s="167" t="inlineStr">
        <is>
          <t>SUP</t>
        </is>
      </c>
      <c r="C365" s="168" t="inlineStr">
        <is>
          <t>유크램프</t>
        </is>
      </c>
      <c r="D365" s="168" t="inlineStr">
        <is>
          <t>공용</t>
        </is>
      </c>
      <c r="E365" s="167" t="inlineStr">
        <is>
          <t>EA</t>
        </is>
      </c>
      <c r="F365" s="170" t="n">
        <v>156</v>
      </c>
      <c r="G365" s="168" t="inlineStr">
        <is>
          <t>공정전체(156)</t>
        </is>
      </c>
      <c r="H365" s="167" t="inlineStr"/>
    </row>
    <row r="366">
      <c r="A366" s="167" t="inlineStr"/>
      <c r="B366" s="167" t="inlineStr">
        <is>
          <t>SUP</t>
        </is>
      </c>
      <c r="C366" s="168" t="inlineStr">
        <is>
          <t>전산볼트 M10 × 1m</t>
        </is>
      </c>
      <c r="D366" s="168" t="inlineStr">
        <is>
          <t>M10</t>
        </is>
      </c>
      <c r="E366" s="167" t="inlineStr">
        <is>
          <t>EA</t>
        </is>
      </c>
      <c r="F366" s="170" t="n">
        <v>156</v>
      </c>
      <c r="G366" s="168" t="inlineStr">
        <is>
          <t>공정전체(156)</t>
        </is>
      </c>
      <c r="H366" s="167" t="inlineStr"/>
    </row>
    <row r="367">
      <c r="A367" s="167" t="inlineStr"/>
      <c r="B367" s="167" t="inlineStr">
        <is>
          <t>CMN</t>
        </is>
      </c>
      <c r="C367" s="168" t="inlineStr">
        <is>
          <t>PVC 테이프</t>
        </is>
      </c>
      <c r="D367" s="168" t="inlineStr">
        <is>
          <t>19mm</t>
        </is>
      </c>
      <c r="E367" s="167" t="inlineStr">
        <is>
          <t>롤</t>
        </is>
      </c>
      <c r="F367" s="170" t="n">
        <v>4</v>
      </c>
      <c r="G367" s="168" t="inlineStr">
        <is>
          <t>공정전체(4)</t>
        </is>
      </c>
      <c r="H367" s="167" t="inlineStr"/>
    </row>
    <row r="368">
      <c r="A368" s="167" t="inlineStr"/>
      <c r="B368" s="167" t="inlineStr">
        <is>
          <t>CMN</t>
        </is>
      </c>
      <c r="C368" s="168" t="inlineStr">
        <is>
          <t>아울렛 박스 (4각)</t>
        </is>
      </c>
      <c r="D368" s="168" t="inlineStr">
        <is>
          <t>4각</t>
        </is>
      </c>
      <c r="E368" s="167" t="inlineStr">
        <is>
          <t>EA</t>
        </is>
      </c>
      <c r="F368" s="170" t="n">
        <v>36</v>
      </c>
      <c r="G368" s="168" t="inlineStr">
        <is>
          <t>공정전체(36)</t>
        </is>
      </c>
      <c r="H368" s="167" t="inlineStr"/>
    </row>
    <row r="369">
      <c r="A369" s="167" t="inlineStr"/>
      <c r="B369" s="167" t="inlineStr">
        <is>
          <t>CMN</t>
        </is>
      </c>
      <c r="C369" s="168" t="inlineStr">
        <is>
          <t>와이어 커넥터</t>
        </is>
      </c>
      <c r="D369" s="168" t="inlineStr">
        <is>
          <t>중</t>
        </is>
      </c>
      <c r="E369" s="167" t="inlineStr">
        <is>
          <t>셋</t>
        </is>
      </c>
      <c r="F369" s="170" t="n">
        <v>108</v>
      </c>
      <c r="G369" s="168" t="inlineStr">
        <is>
          <t>공정전체(108)</t>
        </is>
      </c>
      <c r="H369" s="167" t="inlineStr"/>
    </row>
    <row r="370">
      <c r="A370" s="167" t="inlineStr"/>
      <c r="B370" s="167" t="inlineStr">
        <is>
          <t>CMN</t>
        </is>
      </c>
      <c r="C370" s="168" t="inlineStr">
        <is>
          <t>풀박스</t>
        </is>
      </c>
      <c r="D370" s="168" t="inlineStr">
        <is>
          <t>200×200</t>
        </is>
      </c>
      <c r="E370" s="167" t="inlineStr">
        <is>
          <t>EA</t>
        </is>
      </c>
      <c r="F370" s="170" t="n">
        <v>7</v>
      </c>
      <c r="G370" s="168" t="inlineStr">
        <is>
          <t>공정전체(7)</t>
        </is>
      </c>
      <c r="H370" s="167" t="inlineStr"/>
    </row>
    <row r="372" ht="14.25" customHeight="1" s="78">
      <c r="A372" s="156" t="inlineStr">
        <is>
          <t>4. 1F 전열공사</t>
        </is>
      </c>
      <c r="B372" s="174" t="n"/>
      <c r="C372" s="174" t="n"/>
      <c r="D372" s="174" t="n"/>
      <c r="E372" s="174" t="n"/>
      <c r="F372" s="174" t="n"/>
      <c r="G372" s="174" t="n"/>
      <c r="H372" s="175" t="n"/>
    </row>
    <row r="373" ht="14.25" customHeight="1" s="78">
      <c r="A373" s="158" t="inlineStr">
        <is>
          <t xml:space="preserve">  [16] R1 (매니저룸)</t>
        </is>
      </c>
      <c r="B373" s="174" t="n"/>
      <c r="C373" s="174" t="n"/>
      <c r="D373" s="174" t="n"/>
      <c r="E373" s="174" t="n"/>
      <c r="F373" s="174" t="n"/>
      <c r="G373" s="174" t="n"/>
      <c r="H373" s="175" t="n"/>
    </row>
    <row r="374">
      <c r="A374" s="148" t="n">
        <v>1</v>
      </c>
      <c r="B374" s="148" t="inlineStr">
        <is>
          <t>MAT</t>
        </is>
      </c>
      <c r="C374" s="149" t="inlineStr">
        <is>
          <t>강제전선관 (ST)</t>
        </is>
      </c>
      <c r="D374" s="149" t="inlineStr">
        <is>
          <t>22mm</t>
        </is>
      </c>
      <c r="E374" s="148" t="inlineStr">
        <is>
          <t>m</t>
        </is>
      </c>
      <c r="F374" s="160" t="n">
        <v>15.6</v>
      </c>
      <c r="G374" s="149" t="inlineStr">
        <is>
          <t>길이산출 15.6m</t>
        </is>
      </c>
      <c r="H374" s="148" t="inlineStr">
        <is>
          <t>◆</t>
        </is>
      </c>
    </row>
    <row r="375">
      <c r="A375" s="148" t="n">
        <v>2</v>
      </c>
      <c r="B375" s="148" t="inlineStr">
        <is>
          <t>MAT</t>
        </is>
      </c>
      <c r="C375" s="149" t="inlineStr">
        <is>
          <t>HFIX 내열비닐</t>
        </is>
      </c>
      <c r="D375" s="149" t="inlineStr">
        <is>
          <t>4㎟ 3C</t>
        </is>
      </c>
      <c r="E375" s="148" t="inlineStr">
        <is>
          <t>m</t>
        </is>
      </c>
      <c r="F375" s="160" t="n">
        <v>46.8</v>
      </c>
      <c r="G375" s="149" t="inlineStr">
        <is>
          <t>배관15.6m×가닥수</t>
        </is>
      </c>
      <c r="H375" s="148" t="inlineStr">
        <is>
          <t>◆</t>
        </is>
      </c>
    </row>
    <row r="376">
      <c r="A376" s="161" t="inlineStr"/>
      <c r="B376" s="161" t="inlineStr">
        <is>
          <t>ACC</t>
        </is>
      </c>
      <c r="C376" s="162" t="inlineStr">
        <is>
          <t xml:space="preserve">  ↳ 커플링</t>
        </is>
      </c>
      <c r="D376" s="162" t="inlineStr">
        <is>
          <t>22mm</t>
        </is>
      </c>
      <c r="E376" s="161" t="inlineStr">
        <is>
          <t>EA</t>
        </is>
      </c>
      <c r="F376" s="163" t="n">
        <v>5</v>
      </c>
      <c r="G376" s="162" t="inlineStr">
        <is>
          <t>15.6m÷3.6</t>
        </is>
      </c>
      <c r="H376" s="161" t="inlineStr">
        <is>
          <t>◆</t>
        </is>
      </c>
    </row>
    <row r="377">
      <c r="A377" s="161" t="inlineStr"/>
      <c r="B377" s="161" t="inlineStr">
        <is>
          <t>ACC</t>
        </is>
      </c>
      <c r="C377" s="162" t="inlineStr">
        <is>
          <t xml:space="preserve">  ↳ 커넥터</t>
        </is>
      </c>
      <c r="D377" s="162" t="inlineStr">
        <is>
          <t>22mm</t>
        </is>
      </c>
      <c r="E377" s="161" t="inlineStr">
        <is>
          <t>EA</t>
        </is>
      </c>
      <c r="F377" s="163" t="n">
        <v>2</v>
      </c>
      <c r="G377" s="162" t="inlineStr">
        <is>
          <t>양단 2개</t>
        </is>
      </c>
      <c r="H377" s="161" t="inlineStr">
        <is>
          <t>◆</t>
        </is>
      </c>
    </row>
    <row r="378">
      <c r="A378" s="161" t="inlineStr"/>
      <c r="B378" s="161" t="inlineStr">
        <is>
          <t>ACC</t>
        </is>
      </c>
      <c r="C378" s="162" t="inlineStr">
        <is>
          <t xml:space="preserve">  ↳ 부싱</t>
        </is>
      </c>
      <c r="D378" s="162" t="inlineStr">
        <is>
          <t>22mm</t>
        </is>
      </c>
      <c r="E378" s="161" t="inlineStr">
        <is>
          <t>EA</t>
        </is>
      </c>
      <c r="F378" s="163" t="n">
        <v>2</v>
      </c>
      <c r="G378" s="162">
        <f>커넥터수</f>
        <v/>
      </c>
      <c r="H378" s="161" t="inlineStr">
        <is>
          <t>◆</t>
        </is>
      </c>
    </row>
    <row r="379">
      <c r="A379" s="161" t="inlineStr"/>
      <c r="B379" s="161" t="inlineStr">
        <is>
          <t>ACC</t>
        </is>
      </c>
      <c r="C379" s="162" t="inlineStr">
        <is>
          <t xml:space="preserve">  ↳ 로크너트</t>
        </is>
      </c>
      <c r="D379" s="162" t="inlineStr">
        <is>
          <t>22mm</t>
        </is>
      </c>
      <c r="E379" s="161" t="inlineStr">
        <is>
          <t>EA</t>
        </is>
      </c>
      <c r="F379" s="163" t="n">
        <v>4</v>
      </c>
      <c r="G379" s="162">
        <f>커넥터×2</f>
        <v/>
      </c>
      <c r="H379" s="161" t="inlineStr">
        <is>
          <t>◆</t>
        </is>
      </c>
    </row>
    <row r="380">
      <c r="A380" s="161" t="inlineStr"/>
      <c r="B380" s="161" t="inlineStr">
        <is>
          <t>ACC</t>
        </is>
      </c>
      <c r="C380" s="162" t="inlineStr">
        <is>
          <t xml:space="preserve">  ↳ 새들</t>
        </is>
      </c>
      <c r="D380" s="162" t="inlineStr">
        <is>
          <t>22mm</t>
        </is>
      </c>
      <c r="E380" s="161" t="inlineStr">
        <is>
          <t>EA</t>
        </is>
      </c>
      <c r="F380" s="163" t="n">
        <v>11</v>
      </c>
      <c r="G380" s="162" t="inlineStr">
        <is>
          <t>15.6m÷1.5</t>
        </is>
      </c>
      <c r="H380" s="161" t="inlineStr">
        <is>
          <t>◆</t>
        </is>
      </c>
    </row>
    <row r="381" ht="14.25" customHeight="1" s="78">
      <c r="A381" s="158" t="inlineStr">
        <is>
          <t xml:space="preserve">  [17] R3 (포장등/캐쉬어)</t>
        </is>
      </c>
      <c r="B381" s="174" t="n"/>
      <c r="C381" s="174" t="n"/>
      <c r="D381" s="174" t="n"/>
      <c r="E381" s="174" t="n"/>
      <c r="F381" s="174" t="n"/>
      <c r="G381" s="174" t="n"/>
      <c r="H381" s="175" t="n"/>
    </row>
    <row r="382">
      <c r="A382" s="148" t="n">
        <v>1</v>
      </c>
      <c r="B382" s="148" t="inlineStr">
        <is>
          <t>MAT</t>
        </is>
      </c>
      <c r="C382" s="149" t="inlineStr">
        <is>
          <t>강제전선관 (ST)</t>
        </is>
      </c>
      <c r="D382" s="149" t="inlineStr">
        <is>
          <t>22mm</t>
        </is>
      </c>
      <c r="E382" s="148" t="inlineStr">
        <is>
          <t>m</t>
        </is>
      </c>
      <c r="F382" s="160" t="n">
        <v>15.6</v>
      </c>
      <c r="G382" s="149" t="inlineStr">
        <is>
          <t>길이산출 15.6m</t>
        </is>
      </c>
      <c r="H382" s="148" t="inlineStr">
        <is>
          <t>◆</t>
        </is>
      </c>
    </row>
    <row r="383">
      <c r="A383" s="148" t="n">
        <v>2</v>
      </c>
      <c r="B383" s="148" t="inlineStr">
        <is>
          <t>MAT</t>
        </is>
      </c>
      <c r="C383" s="149" t="inlineStr">
        <is>
          <t>HFIX 내열비닐</t>
        </is>
      </c>
      <c r="D383" s="149" t="inlineStr">
        <is>
          <t>4㎟ 3C</t>
        </is>
      </c>
      <c r="E383" s="148" t="inlineStr">
        <is>
          <t>m</t>
        </is>
      </c>
      <c r="F383" s="160" t="n">
        <v>46.8</v>
      </c>
      <c r="G383" s="149" t="inlineStr">
        <is>
          <t>배관15.6m×가닥수</t>
        </is>
      </c>
      <c r="H383" s="148" t="inlineStr">
        <is>
          <t>◆</t>
        </is>
      </c>
    </row>
    <row r="384">
      <c r="A384" s="161" t="inlineStr"/>
      <c r="B384" s="161" t="inlineStr">
        <is>
          <t>ACC</t>
        </is>
      </c>
      <c r="C384" s="162" t="inlineStr">
        <is>
          <t xml:space="preserve">  ↳ 커플링</t>
        </is>
      </c>
      <c r="D384" s="162" t="inlineStr">
        <is>
          <t>22mm</t>
        </is>
      </c>
      <c r="E384" s="161" t="inlineStr">
        <is>
          <t>EA</t>
        </is>
      </c>
      <c r="F384" s="163" t="n">
        <v>5</v>
      </c>
      <c r="G384" s="162" t="inlineStr">
        <is>
          <t>15.6m÷3.6</t>
        </is>
      </c>
      <c r="H384" s="161" t="inlineStr">
        <is>
          <t>◆</t>
        </is>
      </c>
    </row>
    <row r="385">
      <c r="A385" s="161" t="inlineStr"/>
      <c r="B385" s="161" t="inlineStr">
        <is>
          <t>ACC</t>
        </is>
      </c>
      <c r="C385" s="162" t="inlineStr">
        <is>
          <t xml:space="preserve">  ↳ 커넥터</t>
        </is>
      </c>
      <c r="D385" s="162" t="inlineStr">
        <is>
          <t>22mm</t>
        </is>
      </c>
      <c r="E385" s="161" t="inlineStr">
        <is>
          <t>EA</t>
        </is>
      </c>
      <c r="F385" s="163" t="n">
        <v>2</v>
      </c>
      <c r="G385" s="162" t="inlineStr">
        <is>
          <t>양단 2개</t>
        </is>
      </c>
      <c r="H385" s="161" t="inlineStr">
        <is>
          <t>◆</t>
        </is>
      </c>
    </row>
    <row r="386">
      <c r="A386" s="161" t="inlineStr"/>
      <c r="B386" s="161" t="inlineStr">
        <is>
          <t>ACC</t>
        </is>
      </c>
      <c r="C386" s="162" t="inlineStr">
        <is>
          <t xml:space="preserve">  ↳ 부싱</t>
        </is>
      </c>
      <c r="D386" s="162" t="inlineStr">
        <is>
          <t>22mm</t>
        </is>
      </c>
      <c r="E386" s="161" t="inlineStr">
        <is>
          <t>EA</t>
        </is>
      </c>
      <c r="F386" s="163" t="n">
        <v>2</v>
      </c>
      <c r="G386" s="162">
        <f>커넥터수</f>
        <v/>
      </c>
      <c r="H386" s="161" t="inlineStr">
        <is>
          <t>◆</t>
        </is>
      </c>
    </row>
    <row r="387">
      <c r="A387" s="161" t="inlineStr"/>
      <c r="B387" s="161" t="inlineStr">
        <is>
          <t>ACC</t>
        </is>
      </c>
      <c r="C387" s="162" t="inlineStr">
        <is>
          <t xml:space="preserve">  ↳ 로크너트</t>
        </is>
      </c>
      <c r="D387" s="162" t="inlineStr">
        <is>
          <t>22mm</t>
        </is>
      </c>
      <c r="E387" s="161" t="inlineStr">
        <is>
          <t>EA</t>
        </is>
      </c>
      <c r="F387" s="163" t="n">
        <v>4</v>
      </c>
      <c r="G387" s="162">
        <f>커넥터×2</f>
        <v/>
      </c>
      <c r="H387" s="161" t="inlineStr">
        <is>
          <t>◆</t>
        </is>
      </c>
    </row>
    <row r="388">
      <c r="A388" s="161" t="inlineStr"/>
      <c r="B388" s="161" t="inlineStr">
        <is>
          <t>ACC</t>
        </is>
      </c>
      <c r="C388" s="162" t="inlineStr">
        <is>
          <t xml:space="preserve">  ↳ 새들</t>
        </is>
      </c>
      <c r="D388" s="162" t="inlineStr">
        <is>
          <t>22mm</t>
        </is>
      </c>
      <c r="E388" s="161" t="inlineStr">
        <is>
          <t>EA</t>
        </is>
      </c>
      <c r="F388" s="163" t="n">
        <v>11</v>
      </c>
      <c r="G388" s="162" t="inlineStr">
        <is>
          <t>15.6m÷1.5</t>
        </is>
      </c>
      <c r="H388" s="161" t="inlineStr">
        <is>
          <t>◆</t>
        </is>
      </c>
    </row>
    <row r="389" ht="14.25" customHeight="1" s="78">
      <c r="A389" s="158" t="inlineStr">
        <is>
          <t xml:space="preserve">  [18] R5 (POS)</t>
        </is>
      </c>
      <c r="B389" s="174" t="n"/>
      <c r="C389" s="174" t="n"/>
      <c r="D389" s="174" t="n"/>
      <c r="E389" s="174" t="n"/>
      <c r="F389" s="174" t="n"/>
      <c r="G389" s="174" t="n"/>
      <c r="H389" s="175" t="n"/>
    </row>
    <row r="390">
      <c r="A390" s="148" t="n">
        <v>1</v>
      </c>
      <c r="B390" s="148" t="inlineStr">
        <is>
          <t>MAT</t>
        </is>
      </c>
      <c r="C390" s="149" t="inlineStr">
        <is>
          <t>강제전선관 (ST)</t>
        </is>
      </c>
      <c r="D390" s="149" t="inlineStr">
        <is>
          <t>22mm</t>
        </is>
      </c>
      <c r="E390" s="148" t="inlineStr">
        <is>
          <t>m</t>
        </is>
      </c>
      <c r="F390" s="160" t="n">
        <v>15.6</v>
      </c>
      <c r="G390" s="149" t="inlineStr">
        <is>
          <t>길이산출 15.6m</t>
        </is>
      </c>
      <c r="H390" s="148" t="inlineStr">
        <is>
          <t>◆</t>
        </is>
      </c>
    </row>
    <row r="391">
      <c r="A391" s="148" t="n">
        <v>2</v>
      </c>
      <c r="B391" s="148" t="inlineStr">
        <is>
          <t>MAT</t>
        </is>
      </c>
      <c r="C391" s="149" t="inlineStr">
        <is>
          <t>HFIX 내열비닐</t>
        </is>
      </c>
      <c r="D391" s="149" t="inlineStr">
        <is>
          <t>4㎟ 3C</t>
        </is>
      </c>
      <c r="E391" s="148" t="inlineStr">
        <is>
          <t>m</t>
        </is>
      </c>
      <c r="F391" s="160" t="n">
        <v>46.8</v>
      </c>
      <c r="G391" s="149" t="inlineStr">
        <is>
          <t>배관15.6m×가닥수</t>
        </is>
      </c>
      <c r="H391" s="148" t="inlineStr">
        <is>
          <t>◆</t>
        </is>
      </c>
    </row>
    <row r="392">
      <c r="A392" s="161" t="inlineStr"/>
      <c r="B392" s="161" t="inlineStr">
        <is>
          <t>ACC</t>
        </is>
      </c>
      <c r="C392" s="162" t="inlineStr">
        <is>
          <t xml:space="preserve">  ↳ 커플링</t>
        </is>
      </c>
      <c r="D392" s="162" t="inlineStr">
        <is>
          <t>22mm</t>
        </is>
      </c>
      <c r="E392" s="161" t="inlineStr">
        <is>
          <t>EA</t>
        </is>
      </c>
      <c r="F392" s="163" t="n">
        <v>5</v>
      </c>
      <c r="G392" s="162" t="inlineStr">
        <is>
          <t>15.6m÷3.6</t>
        </is>
      </c>
      <c r="H392" s="161" t="inlineStr">
        <is>
          <t>◆</t>
        </is>
      </c>
    </row>
    <row r="393">
      <c r="A393" s="161" t="inlineStr"/>
      <c r="B393" s="161" t="inlineStr">
        <is>
          <t>ACC</t>
        </is>
      </c>
      <c r="C393" s="162" t="inlineStr">
        <is>
          <t xml:space="preserve">  ↳ 커넥터</t>
        </is>
      </c>
      <c r="D393" s="162" t="inlineStr">
        <is>
          <t>22mm</t>
        </is>
      </c>
      <c r="E393" s="161" t="inlineStr">
        <is>
          <t>EA</t>
        </is>
      </c>
      <c r="F393" s="163" t="n">
        <v>2</v>
      </c>
      <c r="G393" s="162" t="inlineStr">
        <is>
          <t>양단 2개</t>
        </is>
      </c>
      <c r="H393" s="161" t="inlineStr">
        <is>
          <t>◆</t>
        </is>
      </c>
    </row>
    <row r="394">
      <c r="A394" s="161" t="inlineStr"/>
      <c r="B394" s="161" t="inlineStr">
        <is>
          <t>ACC</t>
        </is>
      </c>
      <c r="C394" s="162" t="inlineStr">
        <is>
          <t xml:space="preserve">  ↳ 부싱</t>
        </is>
      </c>
      <c r="D394" s="162" t="inlineStr">
        <is>
          <t>22mm</t>
        </is>
      </c>
      <c r="E394" s="161" t="inlineStr">
        <is>
          <t>EA</t>
        </is>
      </c>
      <c r="F394" s="163" t="n">
        <v>2</v>
      </c>
      <c r="G394" s="162">
        <f>커넥터수</f>
        <v/>
      </c>
      <c r="H394" s="161" t="inlineStr">
        <is>
          <t>◆</t>
        </is>
      </c>
    </row>
    <row r="395">
      <c r="A395" s="161" t="inlineStr"/>
      <c r="B395" s="161" t="inlineStr">
        <is>
          <t>ACC</t>
        </is>
      </c>
      <c r="C395" s="162" t="inlineStr">
        <is>
          <t xml:space="preserve">  ↳ 로크너트</t>
        </is>
      </c>
      <c r="D395" s="162" t="inlineStr">
        <is>
          <t>22mm</t>
        </is>
      </c>
      <c r="E395" s="161" t="inlineStr">
        <is>
          <t>EA</t>
        </is>
      </c>
      <c r="F395" s="163" t="n">
        <v>4</v>
      </c>
      <c r="G395" s="162">
        <f>커넥터×2</f>
        <v/>
      </c>
      <c r="H395" s="161" t="inlineStr">
        <is>
          <t>◆</t>
        </is>
      </c>
    </row>
    <row r="396">
      <c r="A396" s="161" t="inlineStr"/>
      <c r="B396" s="161" t="inlineStr">
        <is>
          <t>ACC</t>
        </is>
      </c>
      <c r="C396" s="162" t="inlineStr">
        <is>
          <t xml:space="preserve">  ↳ 새들</t>
        </is>
      </c>
      <c r="D396" s="162" t="inlineStr">
        <is>
          <t>22mm</t>
        </is>
      </c>
      <c r="E396" s="161" t="inlineStr">
        <is>
          <t>EA</t>
        </is>
      </c>
      <c r="F396" s="163" t="n">
        <v>11</v>
      </c>
      <c r="G396" s="162" t="inlineStr">
        <is>
          <t>15.6m÷1.5</t>
        </is>
      </c>
      <c r="H396" s="161" t="inlineStr">
        <is>
          <t>◆</t>
        </is>
      </c>
    </row>
    <row r="397" ht="14.25" customHeight="1" s="78">
      <c r="A397" s="158" t="inlineStr">
        <is>
          <t xml:space="preserve">  [19] R7 (키오스크)</t>
        </is>
      </c>
      <c r="B397" s="174" t="n"/>
      <c r="C397" s="174" t="n"/>
      <c r="D397" s="174" t="n"/>
      <c r="E397" s="174" t="n"/>
      <c r="F397" s="174" t="n"/>
      <c r="G397" s="174" t="n"/>
      <c r="H397" s="175" t="n"/>
    </row>
    <row r="398">
      <c r="A398" s="148" t="n">
        <v>1</v>
      </c>
      <c r="B398" s="148" t="inlineStr">
        <is>
          <t>MAT</t>
        </is>
      </c>
      <c r="C398" s="149" t="inlineStr">
        <is>
          <t>강제전선관 (ST)</t>
        </is>
      </c>
      <c r="D398" s="149" t="inlineStr">
        <is>
          <t>22mm</t>
        </is>
      </c>
      <c r="E398" s="148" t="inlineStr">
        <is>
          <t>m</t>
        </is>
      </c>
      <c r="F398" s="160" t="n">
        <v>15.6</v>
      </c>
      <c r="G398" s="149" t="inlineStr">
        <is>
          <t>길이산출 15.6m</t>
        </is>
      </c>
      <c r="H398" s="148" t="inlineStr">
        <is>
          <t>◆</t>
        </is>
      </c>
    </row>
    <row r="399">
      <c r="A399" s="148" t="n">
        <v>2</v>
      </c>
      <c r="B399" s="148" t="inlineStr">
        <is>
          <t>MAT</t>
        </is>
      </c>
      <c r="C399" s="149" t="inlineStr">
        <is>
          <t>HFIX 내열비닐</t>
        </is>
      </c>
      <c r="D399" s="149" t="inlineStr">
        <is>
          <t>4㎟ 3C</t>
        </is>
      </c>
      <c r="E399" s="148" t="inlineStr">
        <is>
          <t>m</t>
        </is>
      </c>
      <c r="F399" s="160" t="n">
        <v>46.8</v>
      </c>
      <c r="G399" s="149" t="inlineStr">
        <is>
          <t>배관15.6m×가닥수</t>
        </is>
      </c>
      <c r="H399" s="148" t="inlineStr">
        <is>
          <t>◆</t>
        </is>
      </c>
    </row>
    <row r="400">
      <c r="A400" s="161" t="inlineStr"/>
      <c r="B400" s="161" t="inlineStr">
        <is>
          <t>ACC</t>
        </is>
      </c>
      <c r="C400" s="162" t="inlineStr">
        <is>
          <t xml:space="preserve">  ↳ 커플링</t>
        </is>
      </c>
      <c r="D400" s="162" t="inlineStr">
        <is>
          <t>22mm</t>
        </is>
      </c>
      <c r="E400" s="161" t="inlineStr">
        <is>
          <t>EA</t>
        </is>
      </c>
      <c r="F400" s="163" t="n">
        <v>5</v>
      </c>
      <c r="G400" s="162" t="inlineStr">
        <is>
          <t>15.6m÷3.6</t>
        </is>
      </c>
      <c r="H400" s="161" t="inlineStr">
        <is>
          <t>◆</t>
        </is>
      </c>
    </row>
    <row r="401">
      <c r="A401" s="161" t="inlineStr"/>
      <c r="B401" s="161" t="inlineStr">
        <is>
          <t>ACC</t>
        </is>
      </c>
      <c r="C401" s="162" t="inlineStr">
        <is>
          <t xml:space="preserve">  ↳ 커넥터</t>
        </is>
      </c>
      <c r="D401" s="162" t="inlineStr">
        <is>
          <t>22mm</t>
        </is>
      </c>
      <c r="E401" s="161" t="inlineStr">
        <is>
          <t>EA</t>
        </is>
      </c>
      <c r="F401" s="163" t="n">
        <v>2</v>
      </c>
      <c r="G401" s="162" t="inlineStr">
        <is>
          <t>양단 2개</t>
        </is>
      </c>
      <c r="H401" s="161" t="inlineStr">
        <is>
          <t>◆</t>
        </is>
      </c>
    </row>
    <row r="402">
      <c r="A402" s="161" t="inlineStr"/>
      <c r="B402" s="161" t="inlineStr">
        <is>
          <t>ACC</t>
        </is>
      </c>
      <c r="C402" s="162" t="inlineStr">
        <is>
          <t xml:space="preserve">  ↳ 부싱</t>
        </is>
      </c>
      <c r="D402" s="162" t="inlineStr">
        <is>
          <t>22mm</t>
        </is>
      </c>
      <c r="E402" s="161" t="inlineStr">
        <is>
          <t>EA</t>
        </is>
      </c>
      <c r="F402" s="163" t="n">
        <v>2</v>
      </c>
      <c r="G402" s="162">
        <f>커넥터수</f>
        <v/>
      </c>
      <c r="H402" s="161" t="inlineStr">
        <is>
          <t>◆</t>
        </is>
      </c>
    </row>
    <row r="403">
      <c r="A403" s="161" t="inlineStr"/>
      <c r="B403" s="161" t="inlineStr">
        <is>
          <t>ACC</t>
        </is>
      </c>
      <c r="C403" s="162" t="inlineStr">
        <is>
          <t xml:space="preserve">  ↳ 로크너트</t>
        </is>
      </c>
      <c r="D403" s="162" t="inlineStr">
        <is>
          <t>22mm</t>
        </is>
      </c>
      <c r="E403" s="161" t="inlineStr">
        <is>
          <t>EA</t>
        </is>
      </c>
      <c r="F403" s="163" t="n">
        <v>4</v>
      </c>
      <c r="G403" s="162">
        <f>커넥터×2</f>
        <v/>
      </c>
      <c r="H403" s="161" t="inlineStr">
        <is>
          <t>◆</t>
        </is>
      </c>
    </row>
    <row r="404">
      <c r="A404" s="161" t="inlineStr"/>
      <c r="B404" s="161" t="inlineStr">
        <is>
          <t>ACC</t>
        </is>
      </c>
      <c r="C404" s="162" t="inlineStr">
        <is>
          <t xml:space="preserve">  ↳ 새들</t>
        </is>
      </c>
      <c r="D404" s="162" t="inlineStr">
        <is>
          <t>22mm</t>
        </is>
      </c>
      <c r="E404" s="161" t="inlineStr">
        <is>
          <t>EA</t>
        </is>
      </c>
      <c r="F404" s="163" t="n">
        <v>11</v>
      </c>
      <c r="G404" s="162" t="inlineStr">
        <is>
          <t>15.6m÷1.5</t>
        </is>
      </c>
      <c r="H404" s="161" t="inlineStr">
        <is>
          <t>◆</t>
        </is>
      </c>
    </row>
    <row r="405" ht="14.25" customHeight="1" s="78">
      <c r="A405" s="158" t="inlineStr">
        <is>
          <t xml:space="preserve">  [42] R2 (매니저룸)</t>
        </is>
      </c>
      <c r="B405" s="174" t="n"/>
      <c r="C405" s="174" t="n"/>
      <c r="D405" s="174" t="n"/>
      <c r="E405" s="174" t="n"/>
      <c r="F405" s="174" t="n"/>
      <c r="G405" s="174" t="n"/>
      <c r="H405" s="175" t="n"/>
    </row>
    <row r="406">
      <c r="A406" s="148" t="n">
        <v>1</v>
      </c>
      <c r="B406" s="148" t="inlineStr">
        <is>
          <t>MAT</t>
        </is>
      </c>
      <c r="C406" s="149" t="inlineStr">
        <is>
          <t>강제전선관 (ST)</t>
        </is>
      </c>
      <c r="D406" s="149" t="inlineStr">
        <is>
          <t>22mm</t>
        </is>
      </c>
      <c r="E406" s="148" t="inlineStr">
        <is>
          <t>m</t>
        </is>
      </c>
      <c r="F406" s="160" t="n">
        <v>15.6</v>
      </c>
      <c r="G406" s="149" t="inlineStr">
        <is>
          <t>길이산출 15.6m</t>
        </is>
      </c>
      <c r="H406" s="148" t="inlineStr">
        <is>
          <t>◆</t>
        </is>
      </c>
    </row>
    <row r="407">
      <c r="A407" s="148" t="n">
        <v>2</v>
      </c>
      <c r="B407" s="148" t="inlineStr">
        <is>
          <t>MAT</t>
        </is>
      </c>
      <c r="C407" s="149" t="inlineStr">
        <is>
          <t>HFIX 내열비닐</t>
        </is>
      </c>
      <c r="D407" s="149" t="inlineStr">
        <is>
          <t>4㎟ 3C</t>
        </is>
      </c>
      <c r="E407" s="148" t="inlineStr">
        <is>
          <t>m</t>
        </is>
      </c>
      <c r="F407" s="160" t="n">
        <v>46.8</v>
      </c>
      <c r="G407" s="149" t="inlineStr">
        <is>
          <t>배관15.6m×가닥수</t>
        </is>
      </c>
      <c r="H407" s="148" t="inlineStr">
        <is>
          <t>◆</t>
        </is>
      </c>
    </row>
    <row r="408">
      <c r="A408" s="161" t="inlineStr"/>
      <c r="B408" s="161" t="inlineStr">
        <is>
          <t>ACC</t>
        </is>
      </c>
      <c r="C408" s="162" t="inlineStr">
        <is>
          <t xml:space="preserve">  ↳ 커플링</t>
        </is>
      </c>
      <c r="D408" s="162" t="inlineStr">
        <is>
          <t>22mm</t>
        </is>
      </c>
      <c r="E408" s="161" t="inlineStr">
        <is>
          <t>EA</t>
        </is>
      </c>
      <c r="F408" s="163" t="n">
        <v>5</v>
      </c>
      <c r="G408" s="162" t="inlineStr">
        <is>
          <t>15.6m÷3.6</t>
        </is>
      </c>
      <c r="H408" s="161" t="inlineStr">
        <is>
          <t>◆</t>
        </is>
      </c>
    </row>
    <row r="409">
      <c r="A409" s="161" t="inlineStr"/>
      <c r="B409" s="161" t="inlineStr">
        <is>
          <t>ACC</t>
        </is>
      </c>
      <c r="C409" s="162" t="inlineStr">
        <is>
          <t xml:space="preserve">  ↳ 커넥터</t>
        </is>
      </c>
      <c r="D409" s="162" t="inlineStr">
        <is>
          <t>22mm</t>
        </is>
      </c>
      <c r="E409" s="161" t="inlineStr">
        <is>
          <t>EA</t>
        </is>
      </c>
      <c r="F409" s="163" t="n">
        <v>2</v>
      </c>
      <c r="G409" s="162" t="inlineStr">
        <is>
          <t>양단 2개</t>
        </is>
      </c>
      <c r="H409" s="161" t="inlineStr">
        <is>
          <t>◆</t>
        </is>
      </c>
    </row>
    <row r="410">
      <c r="A410" s="161" t="inlineStr"/>
      <c r="B410" s="161" t="inlineStr">
        <is>
          <t>ACC</t>
        </is>
      </c>
      <c r="C410" s="162" t="inlineStr">
        <is>
          <t xml:space="preserve">  ↳ 부싱</t>
        </is>
      </c>
      <c r="D410" s="162" t="inlineStr">
        <is>
          <t>22mm</t>
        </is>
      </c>
      <c r="E410" s="161" t="inlineStr">
        <is>
          <t>EA</t>
        </is>
      </c>
      <c r="F410" s="163" t="n">
        <v>2</v>
      </c>
      <c r="G410" s="162">
        <f>커넥터수</f>
        <v/>
      </c>
      <c r="H410" s="161" t="inlineStr">
        <is>
          <t>◆</t>
        </is>
      </c>
    </row>
    <row r="411">
      <c r="A411" s="161" t="inlineStr"/>
      <c r="B411" s="161" t="inlineStr">
        <is>
          <t>ACC</t>
        </is>
      </c>
      <c r="C411" s="162" t="inlineStr">
        <is>
          <t xml:space="preserve">  ↳ 로크너트</t>
        </is>
      </c>
      <c r="D411" s="162" t="inlineStr">
        <is>
          <t>22mm</t>
        </is>
      </c>
      <c r="E411" s="161" t="inlineStr">
        <is>
          <t>EA</t>
        </is>
      </c>
      <c r="F411" s="163" t="n">
        <v>4</v>
      </c>
      <c r="G411" s="162">
        <f>커넥터×2</f>
        <v/>
      </c>
      <c r="H411" s="161" t="inlineStr">
        <is>
          <t>◆</t>
        </is>
      </c>
    </row>
    <row r="412">
      <c r="A412" s="161" t="inlineStr"/>
      <c r="B412" s="161" t="inlineStr">
        <is>
          <t>ACC</t>
        </is>
      </c>
      <c r="C412" s="162" t="inlineStr">
        <is>
          <t xml:space="preserve">  ↳ 새들</t>
        </is>
      </c>
      <c r="D412" s="162" t="inlineStr">
        <is>
          <t>22mm</t>
        </is>
      </c>
      <c r="E412" s="161" t="inlineStr">
        <is>
          <t>EA</t>
        </is>
      </c>
      <c r="F412" s="163" t="n">
        <v>11</v>
      </c>
      <c r="G412" s="162" t="inlineStr">
        <is>
          <t>15.6m÷1.5</t>
        </is>
      </c>
      <c r="H412" s="161" t="inlineStr">
        <is>
          <t>◆</t>
        </is>
      </c>
    </row>
    <row r="413" ht="14.25" customHeight="1" s="78">
      <c r="A413" s="158" t="inlineStr">
        <is>
          <t xml:space="preserve">  [43] R4 (포중등/MIC외)</t>
        </is>
      </c>
      <c r="B413" s="174" t="n"/>
      <c r="C413" s="174" t="n"/>
      <c r="D413" s="174" t="n"/>
      <c r="E413" s="174" t="n"/>
      <c r="F413" s="174" t="n"/>
      <c r="G413" s="174" t="n"/>
      <c r="H413" s="175" t="n"/>
    </row>
    <row r="414">
      <c r="A414" s="148" t="n">
        <v>1</v>
      </c>
      <c r="B414" s="148" t="inlineStr">
        <is>
          <t>MAT</t>
        </is>
      </c>
      <c r="C414" s="149" t="inlineStr">
        <is>
          <t>강제전선관 (ST)</t>
        </is>
      </c>
      <c r="D414" s="149" t="inlineStr">
        <is>
          <t>22mm</t>
        </is>
      </c>
      <c r="E414" s="148" t="inlineStr">
        <is>
          <t>m</t>
        </is>
      </c>
      <c r="F414" s="160" t="n">
        <v>15.6</v>
      </c>
      <c r="G414" s="149" t="inlineStr">
        <is>
          <t>길이산출 15.6m</t>
        </is>
      </c>
      <c r="H414" s="148" t="inlineStr">
        <is>
          <t>◆</t>
        </is>
      </c>
    </row>
    <row r="415">
      <c r="A415" s="148" t="n">
        <v>2</v>
      </c>
      <c r="B415" s="148" t="inlineStr">
        <is>
          <t>MAT</t>
        </is>
      </c>
      <c r="C415" s="149" t="inlineStr">
        <is>
          <t>HFIX 내열비닐</t>
        </is>
      </c>
      <c r="D415" s="149" t="inlineStr">
        <is>
          <t>4㎟ 3C</t>
        </is>
      </c>
      <c r="E415" s="148" t="inlineStr">
        <is>
          <t>m</t>
        </is>
      </c>
      <c r="F415" s="160" t="n">
        <v>46.8</v>
      </c>
      <c r="G415" s="149" t="inlineStr">
        <is>
          <t>배관15.6m×가닥수</t>
        </is>
      </c>
      <c r="H415" s="148" t="inlineStr">
        <is>
          <t>◆</t>
        </is>
      </c>
    </row>
    <row r="416">
      <c r="A416" s="161" t="inlineStr"/>
      <c r="B416" s="161" t="inlineStr">
        <is>
          <t>ACC</t>
        </is>
      </c>
      <c r="C416" s="162" t="inlineStr">
        <is>
          <t xml:space="preserve">  ↳ 커플링</t>
        </is>
      </c>
      <c r="D416" s="162" t="inlineStr">
        <is>
          <t>22mm</t>
        </is>
      </c>
      <c r="E416" s="161" t="inlineStr">
        <is>
          <t>EA</t>
        </is>
      </c>
      <c r="F416" s="163" t="n">
        <v>5</v>
      </c>
      <c r="G416" s="162" t="inlineStr">
        <is>
          <t>15.6m÷3.6</t>
        </is>
      </c>
      <c r="H416" s="161" t="inlineStr">
        <is>
          <t>◆</t>
        </is>
      </c>
    </row>
    <row r="417">
      <c r="A417" s="161" t="inlineStr"/>
      <c r="B417" s="161" t="inlineStr">
        <is>
          <t>ACC</t>
        </is>
      </c>
      <c r="C417" s="162" t="inlineStr">
        <is>
          <t xml:space="preserve">  ↳ 커넥터</t>
        </is>
      </c>
      <c r="D417" s="162" t="inlineStr">
        <is>
          <t>22mm</t>
        </is>
      </c>
      <c r="E417" s="161" t="inlineStr">
        <is>
          <t>EA</t>
        </is>
      </c>
      <c r="F417" s="163" t="n">
        <v>2</v>
      </c>
      <c r="G417" s="162" t="inlineStr">
        <is>
          <t>양단 2개</t>
        </is>
      </c>
      <c r="H417" s="161" t="inlineStr">
        <is>
          <t>◆</t>
        </is>
      </c>
    </row>
    <row r="418">
      <c r="A418" s="161" t="inlineStr"/>
      <c r="B418" s="161" t="inlineStr">
        <is>
          <t>ACC</t>
        </is>
      </c>
      <c r="C418" s="162" t="inlineStr">
        <is>
          <t xml:space="preserve">  ↳ 부싱</t>
        </is>
      </c>
      <c r="D418" s="162" t="inlineStr">
        <is>
          <t>22mm</t>
        </is>
      </c>
      <c r="E418" s="161" t="inlineStr">
        <is>
          <t>EA</t>
        </is>
      </c>
      <c r="F418" s="163" t="n">
        <v>2</v>
      </c>
      <c r="G418" s="162">
        <f>커넥터수</f>
        <v/>
      </c>
      <c r="H418" s="161" t="inlineStr">
        <is>
          <t>◆</t>
        </is>
      </c>
    </row>
    <row r="419">
      <c r="A419" s="161" t="inlineStr"/>
      <c r="B419" s="161" t="inlineStr">
        <is>
          <t>ACC</t>
        </is>
      </c>
      <c r="C419" s="162" t="inlineStr">
        <is>
          <t xml:space="preserve">  ↳ 로크너트</t>
        </is>
      </c>
      <c r="D419" s="162" t="inlineStr">
        <is>
          <t>22mm</t>
        </is>
      </c>
      <c r="E419" s="161" t="inlineStr">
        <is>
          <t>EA</t>
        </is>
      </c>
      <c r="F419" s="163" t="n">
        <v>4</v>
      </c>
      <c r="G419" s="162">
        <f>커넥터×2</f>
        <v/>
      </c>
      <c r="H419" s="161" t="inlineStr">
        <is>
          <t>◆</t>
        </is>
      </c>
    </row>
    <row r="420">
      <c r="A420" s="161" t="inlineStr"/>
      <c r="B420" s="161" t="inlineStr">
        <is>
          <t>ACC</t>
        </is>
      </c>
      <c r="C420" s="162" t="inlineStr">
        <is>
          <t xml:space="preserve">  ↳ 새들</t>
        </is>
      </c>
      <c r="D420" s="162" t="inlineStr">
        <is>
          <t>22mm</t>
        </is>
      </c>
      <c r="E420" s="161" t="inlineStr">
        <is>
          <t>EA</t>
        </is>
      </c>
      <c r="F420" s="163" t="n">
        <v>11</v>
      </c>
      <c r="G420" s="162" t="inlineStr">
        <is>
          <t>15.6m÷1.5</t>
        </is>
      </c>
      <c r="H420" s="161" t="inlineStr">
        <is>
          <t>◆</t>
        </is>
      </c>
    </row>
    <row r="421" ht="14.25" customHeight="1" s="78">
      <c r="A421" s="158" t="inlineStr">
        <is>
          <t xml:space="preserve">  [44] R6 (포중등/정수기/핸드믹서)</t>
        </is>
      </c>
      <c r="B421" s="174" t="n"/>
      <c r="C421" s="174" t="n"/>
      <c r="D421" s="174" t="n"/>
      <c r="E421" s="174" t="n"/>
      <c r="F421" s="174" t="n"/>
      <c r="G421" s="174" t="n"/>
      <c r="H421" s="175" t="n"/>
    </row>
    <row r="422">
      <c r="A422" s="148" t="n">
        <v>1</v>
      </c>
      <c r="B422" s="148" t="inlineStr">
        <is>
          <t>MAT</t>
        </is>
      </c>
      <c r="C422" s="149" t="inlineStr">
        <is>
          <t>강제전선관 (ST)</t>
        </is>
      </c>
      <c r="D422" s="149" t="inlineStr">
        <is>
          <t>22mm</t>
        </is>
      </c>
      <c r="E422" s="148" t="inlineStr">
        <is>
          <t>m</t>
        </is>
      </c>
      <c r="F422" s="160" t="n">
        <v>15.6</v>
      </c>
      <c r="G422" s="149" t="inlineStr">
        <is>
          <t>길이산출 15.6m</t>
        </is>
      </c>
      <c r="H422" s="148" t="inlineStr">
        <is>
          <t>◆</t>
        </is>
      </c>
    </row>
    <row r="423">
      <c r="A423" s="148" t="n">
        <v>2</v>
      </c>
      <c r="B423" s="148" t="inlineStr">
        <is>
          <t>MAT</t>
        </is>
      </c>
      <c r="C423" s="149" t="inlineStr">
        <is>
          <t>HFIX 내열비닐</t>
        </is>
      </c>
      <c r="D423" s="149" t="inlineStr">
        <is>
          <t>4㎟ 3C</t>
        </is>
      </c>
      <c r="E423" s="148" t="inlineStr">
        <is>
          <t>m</t>
        </is>
      </c>
      <c r="F423" s="160" t="n">
        <v>46.8</v>
      </c>
      <c r="G423" s="149" t="inlineStr">
        <is>
          <t>배관15.6m×가닥수</t>
        </is>
      </c>
      <c r="H423" s="148" t="inlineStr">
        <is>
          <t>◆</t>
        </is>
      </c>
    </row>
    <row r="424">
      <c r="A424" s="161" t="inlineStr"/>
      <c r="B424" s="161" t="inlineStr">
        <is>
          <t>ACC</t>
        </is>
      </c>
      <c r="C424" s="162" t="inlineStr">
        <is>
          <t xml:space="preserve">  ↳ 커플링</t>
        </is>
      </c>
      <c r="D424" s="162" t="inlineStr">
        <is>
          <t>22mm</t>
        </is>
      </c>
      <c r="E424" s="161" t="inlineStr">
        <is>
          <t>EA</t>
        </is>
      </c>
      <c r="F424" s="163" t="n">
        <v>5</v>
      </c>
      <c r="G424" s="162" t="inlineStr">
        <is>
          <t>15.6m÷3.6</t>
        </is>
      </c>
      <c r="H424" s="161" t="inlineStr">
        <is>
          <t>◆</t>
        </is>
      </c>
    </row>
    <row r="425">
      <c r="A425" s="161" t="inlineStr"/>
      <c r="B425" s="161" t="inlineStr">
        <is>
          <t>ACC</t>
        </is>
      </c>
      <c r="C425" s="162" t="inlineStr">
        <is>
          <t xml:space="preserve">  ↳ 커넥터</t>
        </is>
      </c>
      <c r="D425" s="162" t="inlineStr">
        <is>
          <t>22mm</t>
        </is>
      </c>
      <c r="E425" s="161" t="inlineStr">
        <is>
          <t>EA</t>
        </is>
      </c>
      <c r="F425" s="163" t="n">
        <v>2</v>
      </c>
      <c r="G425" s="162" t="inlineStr">
        <is>
          <t>양단 2개</t>
        </is>
      </c>
      <c r="H425" s="161" t="inlineStr">
        <is>
          <t>◆</t>
        </is>
      </c>
    </row>
    <row r="426">
      <c r="A426" s="161" t="inlineStr"/>
      <c r="B426" s="161" t="inlineStr">
        <is>
          <t>ACC</t>
        </is>
      </c>
      <c r="C426" s="162" t="inlineStr">
        <is>
          <t xml:space="preserve">  ↳ 부싱</t>
        </is>
      </c>
      <c r="D426" s="162" t="inlineStr">
        <is>
          <t>22mm</t>
        </is>
      </c>
      <c r="E426" s="161" t="inlineStr">
        <is>
          <t>EA</t>
        </is>
      </c>
      <c r="F426" s="163" t="n">
        <v>2</v>
      </c>
      <c r="G426" s="162">
        <f>커넥터수</f>
        <v/>
      </c>
      <c r="H426" s="161" t="inlineStr">
        <is>
          <t>◆</t>
        </is>
      </c>
    </row>
    <row r="427">
      <c r="A427" s="161" t="inlineStr"/>
      <c r="B427" s="161" t="inlineStr">
        <is>
          <t>ACC</t>
        </is>
      </c>
      <c r="C427" s="162" t="inlineStr">
        <is>
          <t xml:space="preserve">  ↳ 로크너트</t>
        </is>
      </c>
      <c r="D427" s="162" t="inlineStr">
        <is>
          <t>22mm</t>
        </is>
      </c>
      <c r="E427" s="161" t="inlineStr">
        <is>
          <t>EA</t>
        </is>
      </c>
      <c r="F427" s="163" t="n">
        <v>4</v>
      </c>
      <c r="G427" s="162">
        <f>커넥터×2</f>
        <v/>
      </c>
      <c r="H427" s="161" t="inlineStr">
        <is>
          <t>◆</t>
        </is>
      </c>
    </row>
    <row r="428">
      <c r="A428" s="161" t="inlineStr"/>
      <c r="B428" s="161" t="inlineStr">
        <is>
          <t>ACC</t>
        </is>
      </c>
      <c r="C428" s="162" t="inlineStr">
        <is>
          <t xml:space="preserve">  ↳ 새들</t>
        </is>
      </c>
      <c r="D428" s="162" t="inlineStr">
        <is>
          <t>22mm</t>
        </is>
      </c>
      <c r="E428" s="161" t="inlineStr">
        <is>
          <t>EA</t>
        </is>
      </c>
      <c r="F428" s="163" t="n">
        <v>11</v>
      </c>
      <c r="G428" s="162" t="inlineStr">
        <is>
          <t>15.6m÷1.5</t>
        </is>
      </c>
      <c r="H428" s="161" t="inlineStr">
        <is>
          <t>◆</t>
        </is>
      </c>
    </row>
    <row r="429">
      <c r="A429" s="161" t="inlineStr"/>
      <c r="B429" s="161" t="inlineStr">
        <is>
          <t>SUP</t>
        </is>
      </c>
      <c r="C429" s="162" t="inlineStr">
        <is>
          <t>전산볼트 M10 × 1m</t>
        </is>
      </c>
      <c r="D429" s="162" t="inlineStr">
        <is>
          <t>M10</t>
        </is>
      </c>
      <c r="E429" s="161" t="inlineStr">
        <is>
          <t>EA</t>
        </is>
      </c>
      <c r="F429" s="163" t="n">
        <v>73</v>
      </c>
      <c r="G429" s="162" t="inlineStr">
        <is>
          <t>총배관109.2m÷1.5</t>
        </is>
      </c>
      <c r="H429" s="161" t="inlineStr">
        <is>
          <t>◆</t>
        </is>
      </c>
    </row>
    <row r="430">
      <c r="A430" s="161" t="inlineStr"/>
      <c r="B430" s="161" t="inlineStr">
        <is>
          <t>SUP</t>
        </is>
      </c>
      <c r="C430" s="162" t="inlineStr">
        <is>
          <t>유크램프</t>
        </is>
      </c>
      <c r="D430" s="162" t="inlineStr">
        <is>
          <t>공용</t>
        </is>
      </c>
      <c r="E430" s="161" t="inlineStr">
        <is>
          <t>EA</t>
        </is>
      </c>
      <c r="F430" s="163" t="n">
        <v>73</v>
      </c>
      <c r="G430" s="162" t="inlineStr">
        <is>
          <t>총배관109.2m÷1.5</t>
        </is>
      </c>
      <c r="H430" s="161" t="inlineStr">
        <is>
          <t>◆</t>
        </is>
      </c>
    </row>
    <row r="431">
      <c r="A431" s="161" t="inlineStr"/>
      <c r="B431" s="161" t="inlineStr">
        <is>
          <t>CMN</t>
        </is>
      </c>
      <c r="C431" s="162" t="inlineStr">
        <is>
          <t>아울렛 박스 (4각)</t>
        </is>
      </c>
      <c r="D431" s="162" t="inlineStr">
        <is>
          <t>4각</t>
        </is>
      </c>
      <c r="E431" s="161" t="inlineStr">
        <is>
          <t>EA</t>
        </is>
      </c>
      <c r="F431" s="163" t="n">
        <v>14</v>
      </c>
      <c r="G431" s="162" t="inlineStr">
        <is>
          <t>접속점14개</t>
        </is>
      </c>
      <c r="H431" s="161" t="inlineStr">
        <is>
          <t>▲</t>
        </is>
      </c>
    </row>
    <row r="432">
      <c r="A432" s="161" t="inlineStr"/>
      <c r="B432" s="161" t="inlineStr">
        <is>
          <t>CMN</t>
        </is>
      </c>
      <c r="C432" s="162" t="inlineStr">
        <is>
          <t>풀박스</t>
        </is>
      </c>
      <c r="D432" s="162" t="inlineStr">
        <is>
          <t>200×200</t>
        </is>
      </c>
      <c r="E432" s="161" t="inlineStr">
        <is>
          <t>EA</t>
        </is>
      </c>
      <c r="F432" s="163" t="n">
        <v>3</v>
      </c>
      <c r="G432" s="162" t="inlineStr">
        <is>
          <t>109.2m÷30</t>
        </is>
      </c>
      <c r="H432" s="161" t="inlineStr">
        <is>
          <t>▲</t>
        </is>
      </c>
    </row>
    <row r="433">
      <c r="A433" s="161" t="inlineStr"/>
      <c r="B433" s="161" t="inlineStr">
        <is>
          <t>CMN</t>
        </is>
      </c>
      <c r="C433" s="162" t="inlineStr">
        <is>
          <t>와이어 커넥터</t>
        </is>
      </c>
      <c r="D433" s="162" t="inlineStr">
        <is>
          <t>중</t>
        </is>
      </c>
      <c r="E433" s="161" t="inlineStr">
        <is>
          <t>셋</t>
        </is>
      </c>
      <c r="F433" s="163" t="n">
        <v>42</v>
      </c>
      <c r="G433" s="162" t="inlineStr">
        <is>
          <t>접속점14×3</t>
        </is>
      </c>
      <c r="H433" s="161" t="inlineStr">
        <is>
          <t>▲</t>
        </is>
      </c>
    </row>
    <row r="434">
      <c r="A434" s="161" t="inlineStr"/>
      <c r="B434" s="161" t="inlineStr">
        <is>
          <t>CMN</t>
        </is>
      </c>
      <c r="C434" s="162" t="inlineStr">
        <is>
          <t>PVC 테이프</t>
        </is>
      </c>
      <c r="D434" s="162" t="inlineStr">
        <is>
          <t>19mm</t>
        </is>
      </c>
      <c r="E434" s="161" t="inlineStr">
        <is>
          <t>롤</t>
        </is>
      </c>
      <c r="F434" s="163" t="n">
        <v>2</v>
      </c>
      <c r="G434" s="162" t="inlineStr">
        <is>
          <t>접속점14÷10</t>
        </is>
      </c>
      <c r="H434" s="161" t="inlineStr">
        <is>
          <t>▲</t>
        </is>
      </c>
    </row>
    <row r="435" ht="14.25" customHeight="1" s="78">
      <c r="A435" s="165" t="inlineStr">
        <is>
          <t>( 1F 전열공사 소계 )</t>
        </is>
      </c>
      <c r="B435" s="174" t="n"/>
      <c r="C435" s="174" t="n"/>
      <c r="D435" s="174" t="n"/>
      <c r="E435" s="174" t="n"/>
      <c r="F435" s="174" t="n"/>
      <c r="G435" s="174" t="n"/>
      <c r="H435" s="175" t="n"/>
    </row>
    <row r="436">
      <c r="A436" s="167" t="inlineStr"/>
      <c r="B436" s="167" t="inlineStr">
        <is>
          <t>MAT</t>
        </is>
      </c>
      <c r="C436" s="168" t="inlineStr">
        <is>
          <t>HFIX 내열비닐</t>
        </is>
      </c>
      <c r="D436" s="168" t="inlineStr">
        <is>
          <t>4㎟ 3C</t>
        </is>
      </c>
      <c r="E436" s="167" t="inlineStr">
        <is>
          <t>m</t>
        </is>
      </c>
      <c r="F436" s="169" t="n">
        <v>327.6</v>
      </c>
      <c r="G436" s="168" t="inlineStr">
        <is>
          <t>16(46.8)+17(46.8)+18(46.8)+...(7회로)</t>
        </is>
      </c>
      <c r="H436" s="167" t="inlineStr"/>
    </row>
    <row r="437">
      <c r="A437" s="167" t="inlineStr"/>
      <c r="B437" s="167" t="inlineStr">
        <is>
          <t>MAT</t>
        </is>
      </c>
      <c r="C437" s="168" t="inlineStr">
        <is>
          <t>강제전선관 (ST)</t>
        </is>
      </c>
      <c r="D437" s="168" t="inlineStr">
        <is>
          <t>22mm</t>
        </is>
      </c>
      <c r="E437" s="167" t="inlineStr">
        <is>
          <t>m</t>
        </is>
      </c>
      <c r="F437" s="169" t="n">
        <v>109.2</v>
      </c>
      <c r="G437" s="168" t="inlineStr">
        <is>
          <t>16(15.6)+17(15.6)+18(15.6)+...(7회로)</t>
        </is>
      </c>
      <c r="H437" s="167" t="inlineStr"/>
    </row>
    <row r="438">
      <c r="A438" s="167" t="inlineStr"/>
      <c r="B438" s="167" t="inlineStr">
        <is>
          <t>ACC</t>
        </is>
      </c>
      <c r="C438" s="168" t="inlineStr">
        <is>
          <t>로크너트</t>
        </is>
      </c>
      <c r="D438" s="168" t="inlineStr">
        <is>
          <t>22mm</t>
        </is>
      </c>
      <c r="E438" s="167" t="inlineStr">
        <is>
          <t>EA</t>
        </is>
      </c>
      <c r="F438" s="170" t="n">
        <v>28</v>
      </c>
      <c r="G438" s="168" t="inlineStr">
        <is>
          <t>16(4)+17(4)+18(4)+...(7회로)</t>
        </is>
      </c>
      <c r="H438" s="167" t="inlineStr"/>
    </row>
    <row r="439">
      <c r="A439" s="167" t="inlineStr"/>
      <c r="B439" s="167" t="inlineStr">
        <is>
          <t>ACC</t>
        </is>
      </c>
      <c r="C439" s="168" t="inlineStr">
        <is>
          <t>부싱</t>
        </is>
      </c>
      <c r="D439" s="168" t="inlineStr">
        <is>
          <t>22mm</t>
        </is>
      </c>
      <c r="E439" s="167" t="inlineStr">
        <is>
          <t>EA</t>
        </is>
      </c>
      <c r="F439" s="170" t="n">
        <v>14</v>
      </c>
      <c r="G439" s="168" t="inlineStr">
        <is>
          <t>16(2)+17(2)+18(2)+...(7회로)</t>
        </is>
      </c>
      <c r="H439" s="167" t="inlineStr"/>
    </row>
    <row r="440">
      <c r="A440" s="167" t="inlineStr"/>
      <c r="B440" s="167" t="inlineStr">
        <is>
          <t>ACC</t>
        </is>
      </c>
      <c r="C440" s="168" t="inlineStr">
        <is>
          <t>새들</t>
        </is>
      </c>
      <c r="D440" s="168" t="inlineStr">
        <is>
          <t>22mm</t>
        </is>
      </c>
      <c r="E440" s="167" t="inlineStr">
        <is>
          <t>EA</t>
        </is>
      </c>
      <c r="F440" s="170" t="n">
        <v>77</v>
      </c>
      <c r="G440" s="168" t="inlineStr">
        <is>
          <t>16(11)+17(11)+18(11)+...(7회로)</t>
        </is>
      </c>
      <c r="H440" s="167" t="inlineStr"/>
    </row>
    <row r="441">
      <c r="A441" s="167" t="inlineStr"/>
      <c r="B441" s="167" t="inlineStr">
        <is>
          <t>ACC</t>
        </is>
      </c>
      <c r="C441" s="168" t="inlineStr">
        <is>
          <t>커넥터</t>
        </is>
      </c>
      <c r="D441" s="168" t="inlineStr">
        <is>
          <t>22mm</t>
        </is>
      </c>
      <c r="E441" s="167" t="inlineStr">
        <is>
          <t>EA</t>
        </is>
      </c>
      <c r="F441" s="170" t="n">
        <v>14</v>
      </c>
      <c r="G441" s="168" t="inlineStr">
        <is>
          <t>16(2)+17(2)+18(2)+...(7회로)</t>
        </is>
      </c>
      <c r="H441" s="167" t="inlineStr"/>
    </row>
    <row r="442">
      <c r="A442" s="167" t="inlineStr"/>
      <c r="B442" s="167" t="inlineStr">
        <is>
          <t>ACC</t>
        </is>
      </c>
      <c r="C442" s="168" t="inlineStr">
        <is>
          <t>커플링</t>
        </is>
      </c>
      <c r="D442" s="168" t="inlineStr">
        <is>
          <t>22mm</t>
        </is>
      </c>
      <c r="E442" s="167" t="inlineStr">
        <is>
          <t>EA</t>
        </is>
      </c>
      <c r="F442" s="170" t="n">
        <v>35</v>
      </c>
      <c r="G442" s="168" t="inlineStr">
        <is>
          <t>16(5)+17(5)+18(5)+...(7회로)</t>
        </is>
      </c>
      <c r="H442" s="167" t="inlineStr"/>
    </row>
    <row r="443">
      <c r="A443" s="167" t="inlineStr"/>
      <c r="B443" s="167" t="inlineStr">
        <is>
          <t>SUP</t>
        </is>
      </c>
      <c r="C443" s="168" t="inlineStr">
        <is>
          <t>유크램프</t>
        </is>
      </c>
      <c r="D443" s="168" t="inlineStr">
        <is>
          <t>공용</t>
        </is>
      </c>
      <c r="E443" s="167" t="inlineStr">
        <is>
          <t>EA</t>
        </is>
      </c>
      <c r="F443" s="170" t="n">
        <v>73</v>
      </c>
      <c r="G443" s="168" t="inlineStr">
        <is>
          <t>공정전체(73)</t>
        </is>
      </c>
      <c r="H443" s="167" t="inlineStr"/>
    </row>
    <row r="444">
      <c r="A444" s="167" t="inlineStr"/>
      <c r="B444" s="167" t="inlineStr">
        <is>
          <t>SUP</t>
        </is>
      </c>
      <c r="C444" s="168" t="inlineStr">
        <is>
          <t>전산볼트 M10 × 1m</t>
        </is>
      </c>
      <c r="D444" s="168" t="inlineStr">
        <is>
          <t>M10</t>
        </is>
      </c>
      <c r="E444" s="167" t="inlineStr">
        <is>
          <t>EA</t>
        </is>
      </c>
      <c r="F444" s="170" t="n">
        <v>73</v>
      </c>
      <c r="G444" s="168" t="inlineStr">
        <is>
          <t>공정전체(73)</t>
        </is>
      </c>
      <c r="H444" s="167" t="inlineStr"/>
    </row>
    <row r="445">
      <c r="A445" s="167" t="inlineStr"/>
      <c r="B445" s="167" t="inlineStr">
        <is>
          <t>CMN</t>
        </is>
      </c>
      <c r="C445" s="168" t="inlineStr">
        <is>
          <t>PVC 테이프</t>
        </is>
      </c>
      <c r="D445" s="168" t="inlineStr">
        <is>
          <t>19mm</t>
        </is>
      </c>
      <c r="E445" s="167" t="inlineStr">
        <is>
          <t>롤</t>
        </is>
      </c>
      <c r="F445" s="170" t="n">
        <v>2</v>
      </c>
      <c r="G445" s="168" t="inlineStr">
        <is>
          <t>공정전체(2)</t>
        </is>
      </c>
      <c r="H445" s="167" t="inlineStr"/>
    </row>
    <row r="446">
      <c r="A446" s="167" t="inlineStr"/>
      <c r="B446" s="167" t="inlineStr">
        <is>
          <t>CMN</t>
        </is>
      </c>
      <c r="C446" s="168" t="inlineStr">
        <is>
          <t>아울렛 박스 (4각)</t>
        </is>
      </c>
      <c r="D446" s="168" t="inlineStr">
        <is>
          <t>4각</t>
        </is>
      </c>
      <c r="E446" s="167" t="inlineStr">
        <is>
          <t>EA</t>
        </is>
      </c>
      <c r="F446" s="170" t="n">
        <v>14</v>
      </c>
      <c r="G446" s="168" t="inlineStr">
        <is>
          <t>공정전체(14)</t>
        </is>
      </c>
      <c r="H446" s="167" t="inlineStr"/>
    </row>
    <row r="447">
      <c r="A447" s="167" t="inlineStr"/>
      <c r="B447" s="167" t="inlineStr">
        <is>
          <t>CMN</t>
        </is>
      </c>
      <c r="C447" s="168" t="inlineStr">
        <is>
          <t>와이어 커넥터</t>
        </is>
      </c>
      <c r="D447" s="168" t="inlineStr">
        <is>
          <t>중</t>
        </is>
      </c>
      <c r="E447" s="167" t="inlineStr">
        <is>
          <t>셋</t>
        </is>
      </c>
      <c r="F447" s="170" t="n">
        <v>42</v>
      </c>
      <c r="G447" s="168" t="inlineStr">
        <is>
          <t>공정전체(42)</t>
        </is>
      </c>
      <c r="H447" s="167" t="inlineStr"/>
    </row>
    <row r="448">
      <c r="A448" s="167" t="inlineStr"/>
      <c r="B448" s="167" t="inlineStr">
        <is>
          <t>CMN</t>
        </is>
      </c>
      <c r="C448" s="168" t="inlineStr">
        <is>
          <t>풀박스</t>
        </is>
      </c>
      <c r="D448" s="168" t="inlineStr">
        <is>
          <t>200×200</t>
        </is>
      </c>
      <c r="E448" s="167" t="inlineStr">
        <is>
          <t>EA</t>
        </is>
      </c>
      <c r="F448" s="170" t="n">
        <v>3</v>
      </c>
      <c r="G448" s="168" t="inlineStr">
        <is>
          <t>공정전체(3)</t>
        </is>
      </c>
      <c r="H448" s="167" t="inlineStr"/>
    </row>
    <row r="450" ht="14.25" customHeight="1" s="78">
      <c r="A450" s="156" t="inlineStr">
        <is>
          <t>5. 1F 조명공사</t>
        </is>
      </c>
      <c r="B450" s="174" t="n"/>
      <c r="C450" s="174" t="n"/>
      <c r="D450" s="174" t="n"/>
      <c r="E450" s="174" t="n"/>
      <c r="F450" s="174" t="n"/>
      <c r="G450" s="174" t="n"/>
      <c r="H450" s="175" t="n"/>
    </row>
    <row r="451" ht="14.25" customHeight="1" s="78">
      <c r="A451" s="158" t="inlineStr">
        <is>
          <t xml:space="preserve">  [20] L1 (LIGHTING)</t>
        </is>
      </c>
      <c r="B451" s="174" t="n"/>
      <c r="C451" s="174" t="n"/>
      <c r="D451" s="174" t="n"/>
      <c r="E451" s="174" t="n"/>
      <c r="F451" s="174" t="n"/>
      <c r="G451" s="174" t="n"/>
      <c r="H451" s="175" t="n"/>
    </row>
    <row r="452">
      <c r="A452" s="148" t="n">
        <v>1</v>
      </c>
      <c r="B452" s="148" t="inlineStr">
        <is>
          <t>MAT</t>
        </is>
      </c>
      <c r="C452" s="149" t="inlineStr">
        <is>
          <t>강제전선관 (ST)</t>
        </is>
      </c>
      <c r="D452" s="149" t="inlineStr">
        <is>
          <t>16mm</t>
        </is>
      </c>
      <c r="E452" s="148" t="inlineStr">
        <is>
          <t>m</t>
        </is>
      </c>
      <c r="F452" s="160" t="n">
        <v>39</v>
      </c>
      <c r="G452" s="149" t="inlineStr">
        <is>
          <t>길이산출 39.0m</t>
        </is>
      </c>
      <c r="H452" s="148" t="inlineStr">
        <is>
          <t>◆</t>
        </is>
      </c>
    </row>
    <row r="453">
      <c r="A453" s="148" t="n">
        <v>2</v>
      </c>
      <c r="B453" s="148" t="inlineStr">
        <is>
          <t>MAT</t>
        </is>
      </c>
      <c r="C453" s="149" t="inlineStr">
        <is>
          <t>HFIX 내열비닐</t>
        </is>
      </c>
      <c r="D453" s="149" t="inlineStr">
        <is>
          <t>2.5㎟ 3C</t>
        </is>
      </c>
      <c r="E453" s="148" t="inlineStr">
        <is>
          <t>m</t>
        </is>
      </c>
      <c r="F453" s="160" t="n">
        <v>117</v>
      </c>
      <c r="G453" s="149" t="inlineStr">
        <is>
          <t>배관39.0m×가닥수</t>
        </is>
      </c>
      <c r="H453" s="148" t="inlineStr">
        <is>
          <t>◆</t>
        </is>
      </c>
    </row>
    <row r="454">
      <c r="A454" s="161" t="inlineStr"/>
      <c r="B454" s="161" t="inlineStr">
        <is>
          <t>ACC</t>
        </is>
      </c>
      <c r="C454" s="162" t="inlineStr">
        <is>
          <t xml:space="preserve">  ↳ 커플링</t>
        </is>
      </c>
      <c r="D454" s="162" t="inlineStr">
        <is>
          <t>16mm</t>
        </is>
      </c>
      <c r="E454" s="161" t="inlineStr">
        <is>
          <t>EA</t>
        </is>
      </c>
      <c r="F454" s="163" t="n">
        <v>11</v>
      </c>
      <c r="G454" s="162" t="inlineStr">
        <is>
          <t>39.0m÷3.6</t>
        </is>
      </c>
      <c r="H454" s="161" t="inlineStr">
        <is>
          <t>◆</t>
        </is>
      </c>
    </row>
    <row r="455">
      <c r="A455" s="161" t="inlineStr"/>
      <c r="B455" s="161" t="inlineStr">
        <is>
          <t>ACC</t>
        </is>
      </c>
      <c r="C455" s="162" t="inlineStr">
        <is>
          <t xml:space="preserve">  ↳ 커넥터</t>
        </is>
      </c>
      <c r="D455" s="162" t="inlineStr">
        <is>
          <t>16mm</t>
        </is>
      </c>
      <c r="E455" s="161" t="inlineStr">
        <is>
          <t>EA</t>
        </is>
      </c>
      <c r="F455" s="163" t="n">
        <v>2</v>
      </c>
      <c r="G455" s="162" t="inlineStr">
        <is>
          <t>양단 2개</t>
        </is>
      </c>
      <c r="H455" s="161" t="inlineStr">
        <is>
          <t>◆</t>
        </is>
      </c>
    </row>
    <row r="456">
      <c r="A456" s="161" t="inlineStr"/>
      <c r="B456" s="161" t="inlineStr">
        <is>
          <t>ACC</t>
        </is>
      </c>
      <c r="C456" s="162" t="inlineStr">
        <is>
          <t xml:space="preserve">  ↳ 부싱</t>
        </is>
      </c>
      <c r="D456" s="162" t="inlineStr">
        <is>
          <t>16mm</t>
        </is>
      </c>
      <c r="E456" s="161" t="inlineStr">
        <is>
          <t>EA</t>
        </is>
      </c>
      <c r="F456" s="163" t="n">
        <v>2</v>
      </c>
      <c r="G456" s="162">
        <f>커넥터수</f>
        <v/>
      </c>
      <c r="H456" s="161" t="inlineStr">
        <is>
          <t>◆</t>
        </is>
      </c>
    </row>
    <row r="457">
      <c r="A457" s="161" t="inlineStr"/>
      <c r="B457" s="161" t="inlineStr">
        <is>
          <t>ACC</t>
        </is>
      </c>
      <c r="C457" s="162" t="inlineStr">
        <is>
          <t xml:space="preserve">  ↳ 로크너트</t>
        </is>
      </c>
      <c r="D457" s="162" t="inlineStr">
        <is>
          <t>16mm</t>
        </is>
      </c>
      <c r="E457" s="161" t="inlineStr">
        <is>
          <t>EA</t>
        </is>
      </c>
      <c r="F457" s="163" t="n">
        <v>4</v>
      </c>
      <c r="G457" s="162">
        <f>커넥터×2</f>
        <v/>
      </c>
      <c r="H457" s="161" t="inlineStr">
        <is>
          <t>◆</t>
        </is>
      </c>
    </row>
    <row r="458">
      <c r="A458" s="161" t="inlineStr"/>
      <c r="B458" s="161" t="inlineStr">
        <is>
          <t>ACC</t>
        </is>
      </c>
      <c r="C458" s="162" t="inlineStr">
        <is>
          <t xml:space="preserve">  ↳ 새들</t>
        </is>
      </c>
      <c r="D458" s="162" t="inlineStr">
        <is>
          <t>16mm</t>
        </is>
      </c>
      <c r="E458" s="161" t="inlineStr">
        <is>
          <t>EA</t>
        </is>
      </c>
      <c r="F458" s="163" t="n">
        <v>26</v>
      </c>
      <c r="G458" s="162" t="inlineStr">
        <is>
          <t>39.0m÷1.5</t>
        </is>
      </c>
      <c r="H458" s="161" t="inlineStr">
        <is>
          <t>◆</t>
        </is>
      </c>
    </row>
    <row r="459">
      <c r="A459" s="161" t="inlineStr"/>
      <c r="B459" s="161" t="inlineStr">
        <is>
          <t>ACC</t>
        </is>
      </c>
      <c r="C459" s="162" t="inlineStr">
        <is>
          <t xml:space="preserve">  ↳ 테프론선 2C (SMPS 2차측)</t>
        </is>
      </c>
      <c r="D459" s="162" t="inlineStr">
        <is>
          <t>1.5㎟ 2C</t>
        </is>
      </c>
      <c r="E459" s="161" t="inlineStr">
        <is>
          <t>m</t>
        </is>
      </c>
      <c r="F459" s="164" t="n">
        <v>19.5</v>
      </c>
      <c r="G459" s="162" t="inlineStr">
        <is>
          <t>SMPS→LED 2차측 ▲추정</t>
        </is>
      </c>
      <c r="H459" s="161" t="inlineStr">
        <is>
          <t>▲</t>
        </is>
      </c>
    </row>
    <row r="460">
      <c r="A460" s="161" t="inlineStr"/>
      <c r="B460" s="161" t="inlineStr">
        <is>
          <t>ACC</t>
        </is>
      </c>
      <c r="C460" s="162" t="inlineStr">
        <is>
          <t xml:space="preserve">  ↳ 석면튜브</t>
        </is>
      </c>
      <c r="D460" s="162" t="inlineStr">
        <is>
          <t>Φ6</t>
        </is>
      </c>
      <c r="E460" s="161" t="inlineStr">
        <is>
          <t>m</t>
        </is>
      </c>
      <c r="F460" s="164" t="n">
        <v>19.5</v>
      </c>
      <c r="G460" s="162">
        <f>테프론선 길이</f>
        <v/>
      </c>
      <c r="H460" s="161" t="inlineStr">
        <is>
          <t>▲</t>
        </is>
      </c>
    </row>
    <row r="461" ht="14.25" customHeight="1" s="78">
      <c r="A461" s="158" t="inlineStr">
        <is>
          <t xml:space="preserve">  [21] G1 (OIL MANAGE SYSTEM)</t>
        </is>
      </c>
      <c r="B461" s="174" t="n"/>
      <c r="C461" s="174" t="n"/>
      <c r="D461" s="174" t="n"/>
      <c r="E461" s="174" t="n"/>
      <c r="F461" s="174" t="n"/>
      <c r="G461" s="174" t="n"/>
      <c r="H461" s="175" t="n"/>
    </row>
    <row r="462">
      <c r="A462" s="148" t="n">
        <v>1</v>
      </c>
      <c r="B462" s="148" t="inlineStr">
        <is>
          <t>MAT</t>
        </is>
      </c>
      <c r="C462" s="149" t="inlineStr">
        <is>
          <t>강제전선관 (ST)</t>
        </is>
      </c>
      <c r="D462" s="149" t="inlineStr">
        <is>
          <t>16mm</t>
        </is>
      </c>
      <c r="E462" s="148" t="inlineStr">
        <is>
          <t>m</t>
        </is>
      </c>
      <c r="F462" s="160" t="n">
        <v>13</v>
      </c>
      <c r="G462" s="149" t="inlineStr">
        <is>
          <t>길이산출 13.0m</t>
        </is>
      </c>
      <c r="H462" s="148" t="inlineStr">
        <is>
          <t>◆</t>
        </is>
      </c>
    </row>
    <row r="463">
      <c r="A463" s="148" t="n">
        <v>2</v>
      </c>
      <c r="B463" s="148" t="inlineStr">
        <is>
          <t>MAT</t>
        </is>
      </c>
      <c r="C463" s="149" t="inlineStr">
        <is>
          <t>HFIX 내열비닐</t>
        </is>
      </c>
      <c r="D463" s="149" t="inlineStr">
        <is>
          <t>2.5㎟ 3C</t>
        </is>
      </c>
      <c r="E463" s="148" t="inlineStr">
        <is>
          <t>m</t>
        </is>
      </c>
      <c r="F463" s="160" t="n">
        <v>39</v>
      </c>
      <c r="G463" s="149" t="inlineStr">
        <is>
          <t>배관13.0m×가닥수</t>
        </is>
      </c>
      <c r="H463" s="148" t="inlineStr">
        <is>
          <t>◆</t>
        </is>
      </c>
    </row>
    <row r="464">
      <c r="A464" s="161" t="inlineStr"/>
      <c r="B464" s="161" t="inlineStr">
        <is>
          <t>ACC</t>
        </is>
      </c>
      <c r="C464" s="162" t="inlineStr">
        <is>
          <t xml:space="preserve">  ↳ 커플링</t>
        </is>
      </c>
      <c r="D464" s="162" t="inlineStr">
        <is>
          <t>16mm</t>
        </is>
      </c>
      <c r="E464" s="161" t="inlineStr">
        <is>
          <t>EA</t>
        </is>
      </c>
      <c r="F464" s="163" t="n">
        <v>4</v>
      </c>
      <c r="G464" s="162" t="inlineStr">
        <is>
          <t>13.0m÷3.6</t>
        </is>
      </c>
      <c r="H464" s="161" t="inlineStr">
        <is>
          <t>◆</t>
        </is>
      </c>
    </row>
    <row r="465">
      <c r="A465" s="161" t="inlineStr"/>
      <c r="B465" s="161" t="inlineStr">
        <is>
          <t>ACC</t>
        </is>
      </c>
      <c r="C465" s="162" t="inlineStr">
        <is>
          <t xml:space="preserve">  ↳ 커넥터</t>
        </is>
      </c>
      <c r="D465" s="162" t="inlineStr">
        <is>
          <t>16mm</t>
        </is>
      </c>
      <c r="E465" s="161" t="inlineStr">
        <is>
          <t>EA</t>
        </is>
      </c>
      <c r="F465" s="163" t="n">
        <v>2</v>
      </c>
      <c r="G465" s="162" t="inlineStr">
        <is>
          <t>양단 2개</t>
        </is>
      </c>
      <c r="H465" s="161" t="inlineStr">
        <is>
          <t>◆</t>
        </is>
      </c>
    </row>
    <row r="466">
      <c r="A466" s="161" t="inlineStr"/>
      <c r="B466" s="161" t="inlineStr">
        <is>
          <t>ACC</t>
        </is>
      </c>
      <c r="C466" s="162" t="inlineStr">
        <is>
          <t xml:space="preserve">  ↳ 부싱</t>
        </is>
      </c>
      <c r="D466" s="162" t="inlineStr">
        <is>
          <t>16mm</t>
        </is>
      </c>
      <c r="E466" s="161" t="inlineStr">
        <is>
          <t>EA</t>
        </is>
      </c>
      <c r="F466" s="163" t="n">
        <v>2</v>
      </c>
      <c r="G466" s="162">
        <f>커넥터수</f>
        <v/>
      </c>
      <c r="H466" s="161" t="inlineStr">
        <is>
          <t>◆</t>
        </is>
      </c>
    </row>
    <row r="467">
      <c r="A467" s="161" t="inlineStr"/>
      <c r="B467" s="161" t="inlineStr">
        <is>
          <t>ACC</t>
        </is>
      </c>
      <c r="C467" s="162" t="inlineStr">
        <is>
          <t xml:space="preserve">  ↳ 로크너트</t>
        </is>
      </c>
      <c r="D467" s="162" t="inlineStr">
        <is>
          <t>16mm</t>
        </is>
      </c>
      <c r="E467" s="161" t="inlineStr">
        <is>
          <t>EA</t>
        </is>
      </c>
      <c r="F467" s="163" t="n">
        <v>4</v>
      </c>
      <c r="G467" s="162">
        <f>커넥터×2</f>
        <v/>
      </c>
      <c r="H467" s="161" t="inlineStr">
        <is>
          <t>◆</t>
        </is>
      </c>
    </row>
    <row r="468">
      <c r="A468" s="161" t="inlineStr"/>
      <c r="B468" s="161" t="inlineStr">
        <is>
          <t>ACC</t>
        </is>
      </c>
      <c r="C468" s="162" t="inlineStr">
        <is>
          <t xml:space="preserve">  ↳ 새들</t>
        </is>
      </c>
      <c r="D468" s="162" t="inlineStr">
        <is>
          <t>16mm</t>
        </is>
      </c>
      <c r="E468" s="161" t="inlineStr">
        <is>
          <t>EA</t>
        </is>
      </c>
      <c r="F468" s="163" t="n">
        <v>9</v>
      </c>
      <c r="G468" s="162" t="inlineStr">
        <is>
          <t>13.0m÷1.5</t>
        </is>
      </c>
      <c r="H468" s="161" t="inlineStr">
        <is>
          <t>◆</t>
        </is>
      </c>
    </row>
    <row r="469" ht="14.25" customHeight="1" s="78">
      <c r="A469" s="158" t="inlineStr">
        <is>
          <t xml:space="preserve">  [46] L2 (LIGHTING)</t>
        </is>
      </c>
      <c r="B469" s="174" t="n"/>
      <c r="C469" s="174" t="n"/>
      <c r="D469" s="174" t="n"/>
      <c r="E469" s="174" t="n"/>
      <c r="F469" s="174" t="n"/>
      <c r="G469" s="174" t="n"/>
      <c r="H469" s="175" t="n"/>
    </row>
    <row r="470">
      <c r="A470" s="148" t="n">
        <v>1</v>
      </c>
      <c r="B470" s="148" t="inlineStr">
        <is>
          <t>MAT</t>
        </is>
      </c>
      <c r="C470" s="149" t="inlineStr">
        <is>
          <t>강제전선관 (ST)</t>
        </is>
      </c>
      <c r="D470" s="149" t="inlineStr">
        <is>
          <t>16mm</t>
        </is>
      </c>
      <c r="E470" s="148" t="inlineStr">
        <is>
          <t>m</t>
        </is>
      </c>
      <c r="F470" s="160" t="n">
        <v>39</v>
      </c>
      <c r="G470" s="149" t="inlineStr">
        <is>
          <t>길이산출 39.0m</t>
        </is>
      </c>
      <c r="H470" s="148" t="inlineStr">
        <is>
          <t>◆</t>
        </is>
      </c>
    </row>
    <row r="471">
      <c r="A471" s="148" t="n">
        <v>2</v>
      </c>
      <c r="B471" s="148" t="inlineStr">
        <is>
          <t>MAT</t>
        </is>
      </c>
      <c r="C471" s="149" t="inlineStr">
        <is>
          <t>HFIX 내열비닐</t>
        </is>
      </c>
      <c r="D471" s="149" t="inlineStr">
        <is>
          <t>2.5㎟ 3C</t>
        </is>
      </c>
      <c r="E471" s="148" t="inlineStr">
        <is>
          <t>m</t>
        </is>
      </c>
      <c r="F471" s="160" t="n">
        <v>117</v>
      </c>
      <c r="G471" s="149" t="inlineStr">
        <is>
          <t>배관39.0m×가닥수</t>
        </is>
      </c>
      <c r="H471" s="148" t="inlineStr">
        <is>
          <t>◆</t>
        </is>
      </c>
    </row>
    <row r="472">
      <c r="A472" s="161" t="inlineStr"/>
      <c r="B472" s="161" t="inlineStr">
        <is>
          <t>ACC</t>
        </is>
      </c>
      <c r="C472" s="162" t="inlineStr">
        <is>
          <t xml:space="preserve">  ↳ 커플링</t>
        </is>
      </c>
      <c r="D472" s="162" t="inlineStr">
        <is>
          <t>16mm</t>
        </is>
      </c>
      <c r="E472" s="161" t="inlineStr">
        <is>
          <t>EA</t>
        </is>
      </c>
      <c r="F472" s="163" t="n">
        <v>11</v>
      </c>
      <c r="G472" s="162" t="inlineStr">
        <is>
          <t>39.0m÷3.6</t>
        </is>
      </c>
      <c r="H472" s="161" t="inlineStr">
        <is>
          <t>◆</t>
        </is>
      </c>
    </row>
    <row r="473">
      <c r="A473" s="161" t="inlineStr"/>
      <c r="B473" s="161" t="inlineStr">
        <is>
          <t>ACC</t>
        </is>
      </c>
      <c r="C473" s="162" t="inlineStr">
        <is>
          <t xml:space="preserve">  ↳ 커넥터</t>
        </is>
      </c>
      <c r="D473" s="162" t="inlineStr">
        <is>
          <t>16mm</t>
        </is>
      </c>
      <c r="E473" s="161" t="inlineStr">
        <is>
          <t>EA</t>
        </is>
      </c>
      <c r="F473" s="163" t="n">
        <v>2</v>
      </c>
      <c r="G473" s="162" t="inlineStr">
        <is>
          <t>양단 2개</t>
        </is>
      </c>
      <c r="H473" s="161" t="inlineStr">
        <is>
          <t>◆</t>
        </is>
      </c>
    </row>
    <row r="474">
      <c r="A474" s="161" t="inlineStr"/>
      <c r="B474" s="161" t="inlineStr">
        <is>
          <t>ACC</t>
        </is>
      </c>
      <c r="C474" s="162" t="inlineStr">
        <is>
          <t xml:space="preserve">  ↳ 부싱</t>
        </is>
      </c>
      <c r="D474" s="162" t="inlineStr">
        <is>
          <t>16mm</t>
        </is>
      </c>
      <c r="E474" s="161" t="inlineStr">
        <is>
          <t>EA</t>
        </is>
      </c>
      <c r="F474" s="163" t="n">
        <v>2</v>
      </c>
      <c r="G474" s="162">
        <f>커넥터수</f>
        <v/>
      </c>
      <c r="H474" s="161" t="inlineStr">
        <is>
          <t>◆</t>
        </is>
      </c>
    </row>
    <row r="475">
      <c r="A475" s="161" t="inlineStr"/>
      <c r="B475" s="161" t="inlineStr">
        <is>
          <t>ACC</t>
        </is>
      </c>
      <c r="C475" s="162" t="inlineStr">
        <is>
          <t xml:space="preserve">  ↳ 로크너트</t>
        </is>
      </c>
      <c r="D475" s="162" t="inlineStr">
        <is>
          <t>16mm</t>
        </is>
      </c>
      <c r="E475" s="161" t="inlineStr">
        <is>
          <t>EA</t>
        </is>
      </c>
      <c r="F475" s="163" t="n">
        <v>4</v>
      </c>
      <c r="G475" s="162">
        <f>커넥터×2</f>
        <v/>
      </c>
      <c r="H475" s="161" t="inlineStr">
        <is>
          <t>◆</t>
        </is>
      </c>
    </row>
    <row r="476">
      <c r="A476" s="161" t="inlineStr"/>
      <c r="B476" s="161" t="inlineStr">
        <is>
          <t>ACC</t>
        </is>
      </c>
      <c r="C476" s="162" t="inlineStr">
        <is>
          <t xml:space="preserve">  ↳ 새들</t>
        </is>
      </c>
      <c r="D476" s="162" t="inlineStr">
        <is>
          <t>16mm</t>
        </is>
      </c>
      <c r="E476" s="161" t="inlineStr">
        <is>
          <t>EA</t>
        </is>
      </c>
      <c r="F476" s="163" t="n">
        <v>26</v>
      </c>
      <c r="G476" s="162" t="inlineStr">
        <is>
          <t>39.0m÷1.5</t>
        </is>
      </c>
      <c r="H476" s="161" t="inlineStr">
        <is>
          <t>◆</t>
        </is>
      </c>
    </row>
    <row r="477">
      <c r="A477" s="161" t="inlineStr"/>
      <c r="B477" s="161" t="inlineStr">
        <is>
          <t>ACC</t>
        </is>
      </c>
      <c r="C477" s="162" t="inlineStr">
        <is>
          <t xml:space="preserve">  ↳ 테프론선 2C (SMPS 2차측)</t>
        </is>
      </c>
      <c r="D477" s="162" t="inlineStr">
        <is>
          <t>1.5㎟ 2C</t>
        </is>
      </c>
      <c r="E477" s="161" t="inlineStr">
        <is>
          <t>m</t>
        </is>
      </c>
      <c r="F477" s="164" t="n">
        <v>19.5</v>
      </c>
      <c r="G477" s="162" t="inlineStr">
        <is>
          <t>SMPS→LED 2차측 ▲추정</t>
        </is>
      </c>
      <c r="H477" s="161" t="inlineStr">
        <is>
          <t>▲</t>
        </is>
      </c>
    </row>
    <row r="478">
      <c r="A478" s="161" t="inlineStr"/>
      <c r="B478" s="161" t="inlineStr">
        <is>
          <t>ACC</t>
        </is>
      </c>
      <c r="C478" s="162" t="inlineStr">
        <is>
          <t xml:space="preserve">  ↳ 석면튜브</t>
        </is>
      </c>
      <c r="D478" s="162" t="inlineStr">
        <is>
          <t>Φ6</t>
        </is>
      </c>
      <c r="E478" s="161" t="inlineStr">
        <is>
          <t>m</t>
        </is>
      </c>
      <c r="F478" s="164" t="n">
        <v>19.5</v>
      </c>
      <c r="G478" s="162">
        <f>테프론선 길이</f>
        <v/>
      </c>
      <c r="H478" s="161" t="inlineStr">
        <is>
          <t>▲</t>
        </is>
      </c>
    </row>
    <row r="479" ht="14.25" customHeight="1" s="78">
      <c r="A479" s="158" t="inlineStr">
        <is>
          <t xml:space="preserve">  [47] H1 (HOOD/LAMP/FILTER × 5)</t>
        </is>
      </c>
      <c r="B479" s="174" t="n"/>
      <c r="C479" s="174" t="n"/>
      <c r="D479" s="174" t="n"/>
      <c r="E479" s="174" t="n"/>
      <c r="F479" s="174" t="n"/>
      <c r="G479" s="174" t="n"/>
      <c r="H479" s="175" t="n"/>
    </row>
    <row r="480">
      <c r="A480" s="148" t="n">
        <v>1</v>
      </c>
      <c r="B480" s="148" t="inlineStr">
        <is>
          <t>MAT</t>
        </is>
      </c>
      <c r="C480" s="149" t="inlineStr">
        <is>
          <t>강제전선관 (ST)</t>
        </is>
      </c>
      <c r="D480" s="149" t="inlineStr">
        <is>
          <t>22mm</t>
        </is>
      </c>
      <c r="E480" s="148" t="inlineStr">
        <is>
          <t>m</t>
        </is>
      </c>
      <c r="F480" s="160" t="n">
        <v>39</v>
      </c>
      <c r="G480" s="149" t="inlineStr">
        <is>
          <t>길이산출 39.0m</t>
        </is>
      </c>
      <c r="H480" s="148" t="inlineStr">
        <is>
          <t>◆</t>
        </is>
      </c>
    </row>
    <row r="481">
      <c r="A481" s="148" t="n">
        <v>2</v>
      </c>
      <c r="B481" s="148" t="inlineStr">
        <is>
          <t>MAT</t>
        </is>
      </c>
      <c r="C481" s="149" t="inlineStr">
        <is>
          <t>HFIX 내열비닐</t>
        </is>
      </c>
      <c r="D481" s="149" t="inlineStr">
        <is>
          <t>4㎟ 3C</t>
        </is>
      </c>
      <c r="E481" s="148" t="inlineStr">
        <is>
          <t>m</t>
        </is>
      </c>
      <c r="F481" s="160" t="n">
        <v>117</v>
      </c>
      <c r="G481" s="149" t="inlineStr">
        <is>
          <t>배관39.0m×가닥수</t>
        </is>
      </c>
      <c r="H481" s="148" t="inlineStr">
        <is>
          <t>◆</t>
        </is>
      </c>
    </row>
    <row r="482">
      <c r="A482" s="161" t="inlineStr"/>
      <c r="B482" s="161" t="inlineStr">
        <is>
          <t>ACC</t>
        </is>
      </c>
      <c r="C482" s="162" t="inlineStr">
        <is>
          <t xml:space="preserve">  ↳ 커플링</t>
        </is>
      </c>
      <c r="D482" s="162" t="inlineStr">
        <is>
          <t>22mm</t>
        </is>
      </c>
      <c r="E482" s="161" t="inlineStr">
        <is>
          <t>EA</t>
        </is>
      </c>
      <c r="F482" s="163" t="n">
        <v>11</v>
      </c>
      <c r="G482" s="162" t="inlineStr">
        <is>
          <t>39.0m÷3.6</t>
        </is>
      </c>
      <c r="H482" s="161" t="inlineStr">
        <is>
          <t>◆</t>
        </is>
      </c>
    </row>
    <row r="483">
      <c r="A483" s="161" t="inlineStr"/>
      <c r="B483" s="161" t="inlineStr">
        <is>
          <t>ACC</t>
        </is>
      </c>
      <c r="C483" s="162" t="inlineStr">
        <is>
          <t xml:space="preserve">  ↳ 커넥터</t>
        </is>
      </c>
      <c r="D483" s="162" t="inlineStr">
        <is>
          <t>22mm</t>
        </is>
      </c>
      <c r="E483" s="161" t="inlineStr">
        <is>
          <t>EA</t>
        </is>
      </c>
      <c r="F483" s="163" t="n">
        <v>2</v>
      </c>
      <c r="G483" s="162" t="inlineStr">
        <is>
          <t>양단 2개</t>
        </is>
      </c>
      <c r="H483" s="161" t="inlineStr">
        <is>
          <t>◆</t>
        </is>
      </c>
    </row>
    <row r="484">
      <c r="A484" s="161" t="inlineStr"/>
      <c r="B484" s="161" t="inlineStr">
        <is>
          <t>ACC</t>
        </is>
      </c>
      <c r="C484" s="162" t="inlineStr">
        <is>
          <t xml:space="preserve">  ↳ 부싱</t>
        </is>
      </c>
      <c r="D484" s="162" t="inlineStr">
        <is>
          <t>22mm</t>
        </is>
      </c>
      <c r="E484" s="161" t="inlineStr">
        <is>
          <t>EA</t>
        </is>
      </c>
      <c r="F484" s="163" t="n">
        <v>2</v>
      </c>
      <c r="G484" s="162">
        <f>커넥터수</f>
        <v/>
      </c>
      <c r="H484" s="161" t="inlineStr">
        <is>
          <t>◆</t>
        </is>
      </c>
    </row>
    <row r="485">
      <c r="A485" s="161" t="inlineStr"/>
      <c r="B485" s="161" t="inlineStr">
        <is>
          <t>ACC</t>
        </is>
      </c>
      <c r="C485" s="162" t="inlineStr">
        <is>
          <t xml:space="preserve">  ↳ 로크너트</t>
        </is>
      </c>
      <c r="D485" s="162" t="inlineStr">
        <is>
          <t>22mm</t>
        </is>
      </c>
      <c r="E485" s="161" t="inlineStr">
        <is>
          <t>EA</t>
        </is>
      </c>
      <c r="F485" s="163" t="n">
        <v>4</v>
      </c>
      <c r="G485" s="162">
        <f>커넥터×2</f>
        <v/>
      </c>
      <c r="H485" s="161" t="inlineStr">
        <is>
          <t>◆</t>
        </is>
      </c>
    </row>
    <row r="486">
      <c r="A486" s="161" t="inlineStr"/>
      <c r="B486" s="161" t="inlineStr">
        <is>
          <t>ACC</t>
        </is>
      </c>
      <c r="C486" s="162" t="inlineStr">
        <is>
          <t xml:space="preserve">  ↳ 새들</t>
        </is>
      </c>
      <c r="D486" s="162" t="inlineStr">
        <is>
          <t>22mm</t>
        </is>
      </c>
      <c r="E486" s="161" t="inlineStr">
        <is>
          <t>EA</t>
        </is>
      </c>
      <c r="F486" s="163" t="n">
        <v>26</v>
      </c>
      <c r="G486" s="162" t="inlineStr">
        <is>
          <t>39.0m÷1.5</t>
        </is>
      </c>
      <c r="H486" s="161" t="inlineStr">
        <is>
          <t>◆</t>
        </is>
      </c>
    </row>
    <row r="487">
      <c r="A487" s="161" t="inlineStr"/>
      <c r="B487" s="161" t="inlineStr">
        <is>
          <t>SUP</t>
        </is>
      </c>
      <c r="C487" s="162" t="inlineStr">
        <is>
          <t>전산볼트 M10 × 1m</t>
        </is>
      </c>
      <c r="D487" s="162" t="inlineStr">
        <is>
          <t>M10</t>
        </is>
      </c>
      <c r="E487" s="161" t="inlineStr">
        <is>
          <t>EA</t>
        </is>
      </c>
      <c r="F487" s="163" t="n">
        <v>87</v>
      </c>
      <c r="G487" s="162" t="inlineStr">
        <is>
          <t>총배관130.0m÷1.5</t>
        </is>
      </c>
      <c r="H487" s="161" t="inlineStr">
        <is>
          <t>◆</t>
        </is>
      </c>
    </row>
    <row r="488">
      <c r="A488" s="161" t="inlineStr"/>
      <c r="B488" s="161" t="inlineStr">
        <is>
          <t>SUP</t>
        </is>
      </c>
      <c r="C488" s="162" t="inlineStr">
        <is>
          <t>유크램프</t>
        </is>
      </c>
      <c r="D488" s="162" t="inlineStr">
        <is>
          <t>공용</t>
        </is>
      </c>
      <c r="E488" s="161" t="inlineStr">
        <is>
          <t>EA</t>
        </is>
      </c>
      <c r="F488" s="163" t="n">
        <v>87</v>
      </c>
      <c r="G488" s="162" t="inlineStr">
        <is>
          <t>총배관130.0m÷1.5</t>
        </is>
      </c>
      <c r="H488" s="161" t="inlineStr">
        <is>
          <t>◆</t>
        </is>
      </c>
    </row>
    <row r="489">
      <c r="A489" s="161" t="inlineStr"/>
      <c r="B489" s="161" t="inlineStr">
        <is>
          <t>CMN</t>
        </is>
      </c>
      <c r="C489" s="162" t="inlineStr">
        <is>
          <t>아울렛 박스 (4각)</t>
        </is>
      </c>
      <c r="D489" s="162" t="inlineStr">
        <is>
          <t>4각</t>
        </is>
      </c>
      <c r="E489" s="161" t="inlineStr">
        <is>
          <t>EA</t>
        </is>
      </c>
      <c r="F489" s="163" t="n">
        <v>8</v>
      </c>
      <c r="G489" s="162" t="inlineStr">
        <is>
          <t>접속점8개</t>
        </is>
      </c>
      <c r="H489" s="161" t="inlineStr">
        <is>
          <t>▲</t>
        </is>
      </c>
    </row>
    <row r="490">
      <c r="A490" s="161" t="inlineStr"/>
      <c r="B490" s="161" t="inlineStr">
        <is>
          <t>CMN</t>
        </is>
      </c>
      <c r="C490" s="162" t="inlineStr">
        <is>
          <t>풀박스</t>
        </is>
      </c>
      <c r="D490" s="162" t="inlineStr">
        <is>
          <t>200×200</t>
        </is>
      </c>
      <c r="E490" s="161" t="inlineStr">
        <is>
          <t>EA</t>
        </is>
      </c>
      <c r="F490" s="163" t="n">
        <v>4</v>
      </c>
      <c r="G490" s="162" t="inlineStr">
        <is>
          <t>130.0m÷30</t>
        </is>
      </c>
      <c r="H490" s="161" t="inlineStr">
        <is>
          <t>▲</t>
        </is>
      </c>
    </row>
    <row r="491">
      <c r="A491" s="161" t="inlineStr"/>
      <c r="B491" s="161" t="inlineStr">
        <is>
          <t>CMN</t>
        </is>
      </c>
      <c r="C491" s="162" t="inlineStr">
        <is>
          <t>와이어 커넥터</t>
        </is>
      </c>
      <c r="D491" s="162" t="inlineStr">
        <is>
          <t>중</t>
        </is>
      </c>
      <c r="E491" s="161" t="inlineStr">
        <is>
          <t>셋</t>
        </is>
      </c>
      <c r="F491" s="163" t="n">
        <v>24</v>
      </c>
      <c r="G491" s="162" t="inlineStr">
        <is>
          <t>접속점8×3</t>
        </is>
      </c>
      <c r="H491" s="161" t="inlineStr">
        <is>
          <t>▲</t>
        </is>
      </c>
    </row>
    <row r="492">
      <c r="A492" s="161" t="inlineStr"/>
      <c r="B492" s="161" t="inlineStr">
        <is>
          <t>CMN</t>
        </is>
      </c>
      <c r="C492" s="162" t="inlineStr">
        <is>
          <t>PVC 테이프</t>
        </is>
      </c>
      <c r="D492" s="162" t="inlineStr">
        <is>
          <t>19mm</t>
        </is>
      </c>
      <c r="E492" s="161" t="inlineStr">
        <is>
          <t>롤</t>
        </is>
      </c>
      <c r="F492" s="163" t="n">
        <v>1</v>
      </c>
      <c r="G492" s="162" t="inlineStr">
        <is>
          <t>접속점8÷10</t>
        </is>
      </c>
      <c r="H492" s="161" t="inlineStr">
        <is>
          <t>▲</t>
        </is>
      </c>
    </row>
    <row r="493" ht="14.25" customHeight="1" s="78">
      <c r="A493" s="165" t="inlineStr">
        <is>
          <t>( 1F 조명공사 소계 )</t>
        </is>
      </c>
      <c r="B493" s="174" t="n"/>
      <c r="C493" s="174" t="n"/>
      <c r="D493" s="174" t="n"/>
      <c r="E493" s="174" t="n"/>
      <c r="F493" s="174" t="n"/>
      <c r="G493" s="174" t="n"/>
      <c r="H493" s="175" t="n"/>
    </row>
    <row r="494">
      <c r="A494" s="167" t="inlineStr"/>
      <c r="B494" s="167" t="inlineStr">
        <is>
          <t>MAT</t>
        </is>
      </c>
      <c r="C494" s="168" t="inlineStr">
        <is>
          <t>HFIX 내열비닐</t>
        </is>
      </c>
      <c r="D494" s="168" t="inlineStr">
        <is>
          <t>2.5㎟ 3C</t>
        </is>
      </c>
      <c r="E494" s="167" t="inlineStr">
        <is>
          <t>m</t>
        </is>
      </c>
      <c r="F494" s="169" t="n">
        <v>273</v>
      </c>
      <c r="G494" s="168" t="inlineStr">
        <is>
          <t>20(117.0)+21(39.0)+46(117.0)</t>
        </is>
      </c>
      <c r="H494" s="167" t="inlineStr"/>
    </row>
    <row r="495">
      <c r="A495" s="167" t="inlineStr"/>
      <c r="B495" s="167" t="inlineStr">
        <is>
          <t>MAT</t>
        </is>
      </c>
      <c r="C495" s="168" t="inlineStr">
        <is>
          <t>HFIX 내열비닐</t>
        </is>
      </c>
      <c r="D495" s="168" t="inlineStr">
        <is>
          <t>4㎟ 3C</t>
        </is>
      </c>
      <c r="E495" s="167" t="inlineStr">
        <is>
          <t>m</t>
        </is>
      </c>
      <c r="F495" s="169" t="n">
        <v>117</v>
      </c>
      <c r="G495" s="168" t="inlineStr">
        <is>
          <t>47(117.0)</t>
        </is>
      </c>
      <c r="H495" s="167" t="inlineStr"/>
    </row>
    <row r="496">
      <c r="A496" s="167" t="inlineStr"/>
      <c r="B496" s="167" t="inlineStr">
        <is>
          <t>MAT</t>
        </is>
      </c>
      <c r="C496" s="168" t="inlineStr">
        <is>
          <t>강제전선관 (ST)</t>
        </is>
      </c>
      <c r="D496" s="168" t="inlineStr">
        <is>
          <t>16mm</t>
        </is>
      </c>
      <c r="E496" s="167" t="inlineStr">
        <is>
          <t>m</t>
        </is>
      </c>
      <c r="F496" s="169" t="n">
        <v>91</v>
      </c>
      <c r="G496" s="168" t="inlineStr">
        <is>
          <t>20(39.0)+21(13.0)+46(39.0)</t>
        </is>
      </c>
      <c r="H496" s="167" t="inlineStr"/>
    </row>
    <row r="497">
      <c r="A497" s="167" t="inlineStr"/>
      <c r="B497" s="167" t="inlineStr">
        <is>
          <t>MAT</t>
        </is>
      </c>
      <c r="C497" s="168" t="inlineStr">
        <is>
          <t>강제전선관 (ST)</t>
        </is>
      </c>
      <c r="D497" s="168" t="inlineStr">
        <is>
          <t>22mm</t>
        </is>
      </c>
      <c r="E497" s="167" t="inlineStr">
        <is>
          <t>m</t>
        </is>
      </c>
      <c r="F497" s="169" t="n">
        <v>39</v>
      </c>
      <c r="G497" s="168" t="inlineStr">
        <is>
          <t>47(39.0)</t>
        </is>
      </c>
      <c r="H497" s="167" t="inlineStr"/>
    </row>
    <row r="498">
      <c r="A498" s="167" t="inlineStr"/>
      <c r="B498" s="167" t="inlineStr">
        <is>
          <t>ACC</t>
        </is>
      </c>
      <c r="C498" s="168" t="inlineStr">
        <is>
          <t>로크너트</t>
        </is>
      </c>
      <c r="D498" s="168" t="inlineStr">
        <is>
          <t>16mm</t>
        </is>
      </c>
      <c r="E498" s="167" t="inlineStr">
        <is>
          <t>EA</t>
        </is>
      </c>
      <c r="F498" s="170" t="n">
        <v>12</v>
      </c>
      <c r="G498" s="168" t="inlineStr">
        <is>
          <t>20(4)+21(4)+46(4)</t>
        </is>
      </c>
      <c r="H498" s="167" t="inlineStr"/>
    </row>
    <row r="499">
      <c r="A499" s="167" t="inlineStr"/>
      <c r="B499" s="167" t="inlineStr">
        <is>
          <t>ACC</t>
        </is>
      </c>
      <c r="C499" s="168" t="inlineStr">
        <is>
          <t>로크너트</t>
        </is>
      </c>
      <c r="D499" s="168" t="inlineStr">
        <is>
          <t>22mm</t>
        </is>
      </c>
      <c r="E499" s="167" t="inlineStr">
        <is>
          <t>EA</t>
        </is>
      </c>
      <c r="F499" s="170" t="n">
        <v>4</v>
      </c>
      <c r="G499" s="168" t="inlineStr">
        <is>
          <t>47(4)</t>
        </is>
      </c>
      <c r="H499" s="167" t="inlineStr"/>
    </row>
    <row r="500">
      <c r="A500" s="167" t="inlineStr"/>
      <c r="B500" s="167" t="inlineStr">
        <is>
          <t>ACC</t>
        </is>
      </c>
      <c r="C500" s="168" t="inlineStr">
        <is>
          <t>부싱</t>
        </is>
      </c>
      <c r="D500" s="168" t="inlineStr">
        <is>
          <t>16mm</t>
        </is>
      </c>
      <c r="E500" s="167" t="inlineStr">
        <is>
          <t>EA</t>
        </is>
      </c>
      <c r="F500" s="170" t="n">
        <v>6</v>
      </c>
      <c r="G500" s="168" t="inlineStr">
        <is>
          <t>20(2)+21(2)+46(2)</t>
        </is>
      </c>
      <c r="H500" s="167" t="inlineStr"/>
    </row>
    <row r="501">
      <c r="A501" s="167" t="inlineStr"/>
      <c r="B501" s="167" t="inlineStr">
        <is>
          <t>ACC</t>
        </is>
      </c>
      <c r="C501" s="168" t="inlineStr">
        <is>
          <t>부싱</t>
        </is>
      </c>
      <c r="D501" s="168" t="inlineStr">
        <is>
          <t>22mm</t>
        </is>
      </c>
      <c r="E501" s="167" t="inlineStr">
        <is>
          <t>EA</t>
        </is>
      </c>
      <c r="F501" s="170" t="n">
        <v>2</v>
      </c>
      <c r="G501" s="168" t="inlineStr">
        <is>
          <t>47(2)</t>
        </is>
      </c>
      <c r="H501" s="167" t="inlineStr"/>
    </row>
    <row r="502">
      <c r="A502" s="167" t="inlineStr"/>
      <c r="B502" s="167" t="inlineStr">
        <is>
          <t>ACC</t>
        </is>
      </c>
      <c r="C502" s="168" t="inlineStr">
        <is>
          <t>새들</t>
        </is>
      </c>
      <c r="D502" s="168" t="inlineStr">
        <is>
          <t>16mm</t>
        </is>
      </c>
      <c r="E502" s="167" t="inlineStr">
        <is>
          <t>EA</t>
        </is>
      </c>
      <c r="F502" s="170" t="n">
        <v>61</v>
      </c>
      <c r="G502" s="168" t="inlineStr">
        <is>
          <t>20(26)+21(9)+46(26)</t>
        </is>
      </c>
      <c r="H502" s="167" t="inlineStr"/>
    </row>
    <row r="503">
      <c r="A503" s="167" t="inlineStr"/>
      <c r="B503" s="167" t="inlineStr">
        <is>
          <t>ACC</t>
        </is>
      </c>
      <c r="C503" s="168" t="inlineStr">
        <is>
          <t>새들</t>
        </is>
      </c>
      <c r="D503" s="168" t="inlineStr">
        <is>
          <t>22mm</t>
        </is>
      </c>
      <c r="E503" s="167" t="inlineStr">
        <is>
          <t>EA</t>
        </is>
      </c>
      <c r="F503" s="170" t="n">
        <v>26</v>
      </c>
      <c r="G503" s="168" t="inlineStr">
        <is>
          <t>47(26)</t>
        </is>
      </c>
      <c r="H503" s="167" t="inlineStr"/>
    </row>
    <row r="504">
      <c r="A504" s="167" t="inlineStr"/>
      <c r="B504" s="167" t="inlineStr">
        <is>
          <t>ACC</t>
        </is>
      </c>
      <c r="C504" s="168" t="inlineStr">
        <is>
          <t>석면튜브</t>
        </is>
      </c>
      <c r="D504" s="168" t="inlineStr">
        <is>
          <t>Φ6</t>
        </is>
      </c>
      <c r="E504" s="167" t="inlineStr">
        <is>
          <t>m</t>
        </is>
      </c>
      <c r="F504" s="169" t="n">
        <v>39</v>
      </c>
      <c r="G504" s="168" t="inlineStr">
        <is>
          <t>20(19.5)+46(19.5)</t>
        </is>
      </c>
      <c r="H504" s="167" t="inlineStr"/>
    </row>
    <row r="505">
      <c r="A505" s="167" t="inlineStr"/>
      <c r="B505" s="167" t="inlineStr">
        <is>
          <t>ACC</t>
        </is>
      </c>
      <c r="C505" s="168" t="inlineStr">
        <is>
          <t>커넥터</t>
        </is>
      </c>
      <c r="D505" s="168" t="inlineStr">
        <is>
          <t>16mm</t>
        </is>
      </c>
      <c r="E505" s="167" t="inlineStr">
        <is>
          <t>EA</t>
        </is>
      </c>
      <c r="F505" s="170" t="n">
        <v>6</v>
      </c>
      <c r="G505" s="168" t="inlineStr">
        <is>
          <t>20(2)+21(2)+46(2)</t>
        </is>
      </c>
      <c r="H505" s="167" t="inlineStr"/>
    </row>
    <row r="506">
      <c r="A506" s="167" t="inlineStr"/>
      <c r="B506" s="167" t="inlineStr">
        <is>
          <t>ACC</t>
        </is>
      </c>
      <c r="C506" s="168" t="inlineStr">
        <is>
          <t>커넥터</t>
        </is>
      </c>
      <c r="D506" s="168" t="inlineStr">
        <is>
          <t>22mm</t>
        </is>
      </c>
      <c r="E506" s="167" t="inlineStr">
        <is>
          <t>EA</t>
        </is>
      </c>
      <c r="F506" s="170" t="n">
        <v>2</v>
      </c>
      <c r="G506" s="168" t="inlineStr">
        <is>
          <t>47(2)</t>
        </is>
      </c>
      <c r="H506" s="167" t="inlineStr"/>
    </row>
    <row r="507">
      <c r="A507" s="167" t="inlineStr"/>
      <c r="B507" s="167" t="inlineStr">
        <is>
          <t>ACC</t>
        </is>
      </c>
      <c r="C507" s="168" t="inlineStr">
        <is>
          <t>커플링</t>
        </is>
      </c>
      <c r="D507" s="168" t="inlineStr">
        <is>
          <t>16mm</t>
        </is>
      </c>
      <c r="E507" s="167" t="inlineStr">
        <is>
          <t>EA</t>
        </is>
      </c>
      <c r="F507" s="170" t="n">
        <v>26</v>
      </c>
      <c r="G507" s="168" t="inlineStr">
        <is>
          <t>20(11)+21(4)+46(11)</t>
        </is>
      </c>
      <c r="H507" s="167" t="inlineStr"/>
    </row>
    <row r="508">
      <c r="A508" s="167" t="inlineStr"/>
      <c r="B508" s="167" t="inlineStr">
        <is>
          <t>ACC</t>
        </is>
      </c>
      <c r="C508" s="168" t="inlineStr">
        <is>
          <t>커플링</t>
        </is>
      </c>
      <c r="D508" s="168" t="inlineStr">
        <is>
          <t>22mm</t>
        </is>
      </c>
      <c r="E508" s="167" t="inlineStr">
        <is>
          <t>EA</t>
        </is>
      </c>
      <c r="F508" s="170" t="n">
        <v>11</v>
      </c>
      <c r="G508" s="168" t="inlineStr">
        <is>
          <t>47(11)</t>
        </is>
      </c>
      <c r="H508" s="167" t="inlineStr"/>
    </row>
    <row r="509">
      <c r="A509" s="167" t="inlineStr"/>
      <c r="B509" s="167" t="inlineStr">
        <is>
          <t>ACC</t>
        </is>
      </c>
      <c r="C509" s="168" t="inlineStr">
        <is>
          <t>테프론선 2C (SMPS 2차측)</t>
        </is>
      </c>
      <c r="D509" s="168" t="inlineStr">
        <is>
          <t>1.5㎟ 2C</t>
        </is>
      </c>
      <c r="E509" s="167" t="inlineStr">
        <is>
          <t>m</t>
        </is>
      </c>
      <c r="F509" s="169" t="n">
        <v>39</v>
      </c>
      <c r="G509" s="168" t="inlineStr">
        <is>
          <t>20(19.5)+46(19.5)</t>
        </is>
      </c>
      <c r="H509" s="167" t="inlineStr"/>
    </row>
    <row r="510">
      <c r="A510" s="167" t="inlineStr"/>
      <c r="B510" s="167" t="inlineStr">
        <is>
          <t>SUP</t>
        </is>
      </c>
      <c r="C510" s="168" t="inlineStr">
        <is>
          <t>유크램프</t>
        </is>
      </c>
      <c r="D510" s="168" t="inlineStr">
        <is>
          <t>공용</t>
        </is>
      </c>
      <c r="E510" s="167" t="inlineStr">
        <is>
          <t>EA</t>
        </is>
      </c>
      <c r="F510" s="170" t="n">
        <v>87</v>
      </c>
      <c r="G510" s="168" t="inlineStr">
        <is>
          <t>공정전체(87)</t>
        </is>
      </c>
      <c r="H510" s="167" t="inlineStr"/>
    </row>
    <row r="511">
      <c r="A511" s="167" t="inlineStr"/>
      <c r="B511" s="167" t="inlineStr">
        <is>
          <t>SUP</t>
        </is>
      </c>
      <c r="C511" s="168" t="inlineStr">
        <is>
          <t>전산볼트 M10 × 1m</t>
        </is>
      </c>
      <c r="D511" s="168" t="inlineStr">
        <is>
          <t>M10</t>
        </is>
      </c>
      <c r="E511" s="167" t="inlineStr">
        <is>
          <t>EA</t>
        </is>
      </c>
      <c r="F511" s="170" t="n">
        <v>87</v>
      </c>
      <c r="G511" s="168" t="inlineStr">
        <is>
          <t>공정전체(87)</t>
        </is>
      </c>
      <c r="H511" s="167" t="inlineStr"/>
    </row>
    <row r="512">
      <c r="A512" s="167" t="inlineStr"/>
      <c r="B512" s="167" t="inlineStr">
        <is>
          <t>CMN</t>
        </is>
      </c>
      <c r="C512" s="168" t="inlineStr">
        <is>
          <t>PVC 테이프</t>
        </is>
      </c>
      <c r="D512" s="168" t="inlineStr">
        <is>
          <t>19mm</t>
        </is>
      </c>
      <c r="E512" s="167" t="inlineStr">
        <is>
          <t>롤</t>
        </is>
      </c>
      <c r="F512" s="170" t="n">
        <v>1</v>
      </c>
      <c r="G512" s="168" t="inlineStr">
        <is>
          <t>공정전체(1)</t>
        </is>
      </c>
      <c r="H512" s="167" t="inlineStr"/>
    </row>
    <row r="513">
      <c r="A513" s="167" t="inlineStr"/>
      <c r="B513" s="167" t="inlineStr">
        <is>
          <t>CMN</t>
        </is>
      </c>
      <c r="C513" s="168" t="inlineStr">
        <is>
          <t>아울렛 박스 (4각)</t>
        </is>
      </c>
      <c r="D513" s="168" t="inlineStr">
        <is>
          <t>4각</t>
        </is>
      </c>
      <c r="E513" s="167" t="inlineStr">
        <is>
          <t>EA</t>
        </is>
      </c>
      <c r="F513" s="170" t="n">
        <v>8</v>
      </c>
      <c r="G513" s="168" t="inlineStr">
        <is>
          <t>공정전체(8)</t>
        </is>
      </c>
      <c r="H513" s="167" t="inlineStr"/>
    </row>
    <row r="514">
      <c r="A514" s="167" t="inlineStr"/>
      <c r="B514" s="167" t="inlineStr">
        <is>
          <t>CMN</t>
        </is>
      </c>
      <c r="C514" s="168" t="inlineStr">
        <is>
          <t>와이어 커넥터</t>
        </is>
      </c>
      <c r="D514" s="168" t="inlineStr">
        <is>
          <t>중</t>
        </is>
      </c>
      <c r="E514" s="167" t="inlineStr">
        <is>
          <t>셋</t>
        </is>
      </c>
      <c r="F514" s="170" t="n">
        <v>24</v>
      </c>
      <c r="G514" s="168" t="inlineStr">
        <is>
          <t>공정전체(24)</t>
        </is>
      </c>
      <c r="H514" s="167" t="inlineStr"/>
    </row>
    <row r="515">
      <c r="A515" s="167" t="inlineStr"/>
      <c r="B515" s="167" t="inlineStr">
        <is>
          <t>CMN</t>
        </is>
      </c>
      <c r="C515" s="168" t="inlineStr">
        <is>
          <t>풀박스</t>
        </is>
      </c>
      <c r="D515" s="168" t="inlineStr">
        <is>
          <t>200×200</t>
        </is>
      </c>
      <c r="E515" s="167" t="inlineStr">
        <is>
          <t>EA</t>
        </is>
      </c>
      <c r="F515" s="170" t="n">
        <v>4</v>
      </c>
      <c r="G515" s="168" t="inlineStr">
        <is>
          <t>공정전체(4)</t>
        </is>
      </c>
      <c r="H515" s="167" t="inlineStr"/>
    </row>
    <row r="517" ht="14.25" customHeight="1" s="78">
      <c r="A517" s="156" t="inlineStr">
        <is>
          <t>6. 2F 동력·환기공사</t>
        </is>
      </c>
      <c r="B517" s="174" t="n"/>
      <c r="C517" s="174" t="n"/>
      <c r="D517" s="174" t="n"/>
      <c r="E517" s="174" t="n"/>
      <c r="F517" s="174" t="n"/>
      <c r="G517" s="174" t="n"/>
      <c r="H517" s="175" t="n"/>
    </row>
    <row r="518" ht="14.25" customHeight="1" s="78">
      <c r="A518" s="158" t="inlineStr">
        <is>
          <t xml:space="preserve">  [1] OAC-3 (실외기3)</t>
        </is>
      </c>
      <c r="B518" s="174" t="n"/>
      <c r="C518" s="174" t="n"/>
      <c r="D518" s="174" t="n"/>
      <c r="E518" s="174" t="n"/>
      <c r="F518" s="174" t="n"/>
      <c r="G518" s="174" t="n"/>
      <c r="H518" s="175" t="n"/>
    </row>
    <row r="519">
      <c r="A519" s="148" t="n">
        <v>1</v>
      </c>
      <c r="B519" s="148" t="inlineStr">
        <is>
          <t>MAT</t>
        </is>
      </c>
      <c r="C519" s="149" t="inlineStr">
        <is>
          <t>강제전선관 (ST)</t>
        </is>
      </c>
      <c r="D519" s="149" t="inlineStr">
        <is>
          <t>22mm</t>
        </is>
      </c>
      <c r="E519" s="148" t="inlineStr">
        <is>
          <t>m</t>
        </is>
      </c>
      <c r="F519" s="160" t="n">
        <v>42.9</v>
      </c>
      <c r="G519" s="149" t="inlineStr">
        <is>
          <t>길이산출 42.9m</t>
        </is>
      </c>
      <c r="H519" s="148" t="inlineStr">
        <is>
          <t>◆</t>
        </is>
      </c>
    </row>
    <row r="520">
      <c r="A520" s="148" t="n">
        <v>2</v>
      </c>
      <c r="B520" s="148" t="inlineStr">
        <is>
          <t>MAT</t>
        </is>
      </c>
      <c r="C520" s="149" t="inlineStr">
        <is>
          <t>HFIX 내열비닐</t>
        </is>
      </c>
      <c r="D520" s="149" t="inlineStr">
        <is>
          <t>4㎟ 4C</t>
        </is>
      </c>
      <c r="E520" s="148" t="inlineStr">
        <is>
          <t>m</t>
        </is>
      </c>
      <c r="F520" s="160" t="n">
        <v>171.6</v>
      </c>
      <c r="G520" s="149" t="inlineStr">
        <is>
          <t>배관42.9m×가닥수</t>
        </is>
      </c>
      <c r="H520" s="148" t="inlineStr">
        <is>
          <t>◆</t>
        </is>
      </c>
    </row>
    <row r="521">
      <c r="A521" s="161" t="inlineStr"/>
      <c r="B521" s="161" t="inlineStr">
        <is>
          <t>ACC</t>
        </is>
      </c>
      <c r="C521" s="162" t="inlineStr">
        <is>
          <t xml:space="preserve">  ↳ 커플링</t>
        </is>
      </c>
      <c r="D521" s="162" t="inlineStr">
        <is>
          <t>22mm</t>
        </is>
      </c>
      <c r="E521" s="161" t="inlineStr">
        <is>
          <t>EA</t>
        </is>
      </c>
      <c r="F521" s="163" t="n">
        <v>12</v>
      </c>
      <c r="G521" s="162" t="inlineStr">
        <is>
          <t>42.9m÷3.6</t>
        </is>
      </c>
      <c r="H521" s="161" t="inlineStr">
        <is>
          <t>◆</t>
        </is>
      </c>
    </row>
    <row r="522">
      <c r="A522" s="161" t="inlineStr"/>
      <c r="B522" s="161" t="inlineStr">
        <is>
          <t>ACC</t>
        </is>
      </c>
      <c r="C522" s="162" t="inlineStr">
        <is>
          <t xml:space="preserve">  ↳ 커넥터</t>
        </is>
      </c>
      <c r="D522" s="162" t="inlineStr">
        <is>
          <t>22mm</t>
        </is>
      </c>
      <c r="E522" s="161" t="inlineStr">
        <is>
          <t>EA</t>
        </is>
      </c>
      <c r="F522" s="163" t="n">
        <v>2</v>
      </c>
      <c r="G522" s="162" t="inlineStr">
        <is>
          <t>양단 2개</t>
        </is>
      </c>
      <c r="H522" s="161" t="inlineStr">
        <is>
          <t>◆</t>
        </is>
      </c>
    </row>
    <row r="523">
      <c r="A523" s="161" t="inlineStr"/>
      <c r="B523" s="161" t="inlineStr">
        <is>
          <t>ACC</t>
        </is>
      </c>
      <c r="C523" s="162" t="inlineStr">
        <is>
          <t xml:space="preserve">  ↳ 부싱</t>
        </is>
      </c>
      <c r="D523" s="162" t="inlineStr">
        <is>
          <t>22mm</t>
        </is>
      </c>
      <c r="E523" s="161" t="inlineStr">
        <is>
          <t>EA</t>
        </is>
      </c>
      <c r="F523" s="163" t="n">
        <v>2</v>
      </c>
      <c r="G523" s="162">
        <f>커넥터수</f>
        <v/>
      </c>
      <c r="H523" s="161" t="inlineStr">
        <is>
          <t>◆</t>
        </is>
      </c>
    </row>
    <row r="524">
      <c r="A524" s="161" t="inlineStr"/>
      <c r="B524" s="161" t="inlineStr">
        <is>
          <t>ACC</t>
        </is>
      </c>
      <c r="C524" s="162" t="inlineStr">
        <is>
          <t xml:space="preserve">  ↳ 로크너트</t>
        </is>
      </c>
      <c r="D524" s="162" t="inlineStr">
        <is>
          <t>22mm</t>
        </is>
      </c>
      <c r="E524" s="161" t="inlineStr">
        <is>
          <t>EA</t>
        </is>
      </c>
      <c r="F524" s="163" t="n">
        <v>4</v>
      </c>
      <c r="G524" s="162">
        <f>커넥터×2</f>
        <v/>
      </c>
      <c r="H524" s="161" t="inlineStr">
        <is>
          <t>◆</t>
        </is>
      </c>
    </row>
    <row r="525">
      <c r="A525" s="161" t="inlineStr"/>
      <c r="B525" s="161" t="inlineStr">
        <is>
          <t>ACC</t>
        </is>
      </c>
      <c r="C525" s="162" t="inlineStr">
        <is>
          <t xml:space="preserve">  ↳ 새들</t>
        </is>
      </c>
      <c r="D525" s="162" t="inlineStr">
        <is>
          <t>22mm</t>
        </is>
      </c>
      <c r="E525" s="161" t="inlineStr">
        <is>
          <t>EA</t>
        </is>
      </c>
      <c r="F525" s="163" t="n">
        <v>29</v>
      </c>
      <c r="G525" s="162" t="inlineStr">
        <is>
          <t>42.9m÷1.5</t>
        </is>
      </c>
      <c r="H525" s="161" t="inlineStr">
        <is>
          <t>◆</t>
        </is>
      </c>
    </row>
    <row r="526" ht="14.25" customHeight="1" s="78">
      <c r="A526" s="158" t="inlineStr">
        <is>
          <t xml:space="preserve">  [3] A1 (실내기1)</t>
        </is>
      </c>
      <c r="B526" s="174" t="n"/>
      <c r="C526" s="174" t="n"/>
      <c r="D526" s="174" t="n"/>
      <c r="E526" s="174" t="n"/>
      <c r="F526" s="174" t="n"/>
      <c r="G526" s="174" t="n"/>
      <c r="H526" s="175" t="n"/>
    </row>
    <row r="527">
      <c r="A527" s="148" t="n">
        <v>1</v>
      </c>
      <c r="B527" s="148" t="inlineStr">
        <is>
          <t>MAT</t>
        </is>
      </c>
      <c r="C527" s="149" t="inlineStr">
        <is>
          <t>강제전선관 (ST)</t>
        </is>
      </c>
      <c r="D527" s="149" t="inlineStr">
        <is>
          <t>22mm</t>
        </is>
      </c>
      <c r="E527" s="148" t="inlineStr">
        <is>
          <t>m</t>
        </is>
      </c>
      <c r="F527" s="160" t="n">
        <v>10.4</v>
      </c>
      <c r="G527" s="149" t="inlineStr">
        <is>
          <t>길이산출 10.4m</t>
        </is>
      </c>
      <c r="H527" s="148" t="inlineStr">
        <is>
          <t>◆</t>
        </is>
      </c>
    </row>
    <row r="528">
      <c r="A528" s="148" t="n">
        <v>2</v>
      </c>
      <c r="B528" s="148" t="inlineStr">
        <is>
          <t>MAT</t>
        </is>
      </c>
      <c r="C528" s="149" t="inlineStr">
        <is>
          <t>HFIX 내열비닐</t>
        </is>
      </c>
      <c r="D528" s="149" t="inlineStr">
        <is>
          <t>4㎟ 3C</t>
        </is>
      </c>
      <c r="E528" s="148" t="inlineStr">
        <is>
          <t>m</t>
        </is>
      </c>
      <c r="F528" s="160" t="n">
        <v>31.2</v>
      </c>
      <c r="G528" s="149" t="inlineStr">
        <is>
          <t>배관10.4m×가닥수</t>
        </is>
      </c>
      <c r="H528" s="148" t="inlineStr">
        <is>
          <t>◆</t>
        </is>
      </c>
    </row>
    <row r="529">
      <c r="A529" s="161" t="inlineStr"/>
      <c r="B529" s="161" t="inlineStr">
        <is>
          <t>ACC</t>
        </is>
      </c>
      <c r="C529" s="162" t="inlineStr">
        <is>
          <t xml:space="preserve">  ↳ 커플링</t>
        </is>
      </c>
      <c r="D529" s="162" t="inlineStr">
        <is>
          <t>22mm</t>
        </is>
      </c>
      <c r="E529" s="161" t="inlineStr">
        <is>
          <t>EA</t>
        </is>
      </c>
      <c r="F529" s="163" t="n">
        <v>3</v>
      </c>
      <c r="G529" s="162" t="inlineStr">
        <is>
          <t>10.4m÷3.6</t>
        </is>
      </c>
      <c r="H529" s="161" t="inlineStr">
        <is>
          <t>◆</t>
        </is>
      </c>
    </row>
    <row r="530">
      <c r="A530" s="161" t="inlineStr"/>
      <c r="B530" s="161" t="inlineStr">
        <is>
          <t>ACC</t>
        </is>
      </c>
      <c r="C530" s="162" t="inlineStr">
        <is>
          <t xml:space="preserve">  ↳ 커넥터</t>
        </is>
      </c>
      <c r="D530" s="162" t="inlineStr">
        <is>
          <t>22mm</t>
        </is>
      </c>
      <c r="E530" s="161" t="inlineStr">
        <is>
          <t>EA</t>
        </is>
      </c>
      <c r="F530" s="163" t="n">
        <v>2</v>
      </c>
      <c r="G530" s="162" t="inlineStr">
        <is>
          <t>양단 2개</t>
        </is>
      </c>
      <c r="H530" s="161" t="inlineStr">
        <is>
          <t>◆</t>
        </is>
      </c>
    </row>
    <row r="531">
      <c r="A531" s="161" t="inlineStr"/>
      <c r="B531" s="161" t="inlineStr">
        <is>
          <t>ACC</t>
        </is>
      </c>
      <c r="C531" s="162" t="inlineStr">
        <is>
          <t xml:space="preserve">  ↳ 부싱</t>
        </is>
      </c>
      <c r="D531" s="162" t="inlineStr">
        <is>
          <t>22mm</t>
        </is>
      </c>
      <c r="E531" s="161" t="inlineStr">
        <is>
          <t>EA</t>
        </is>
      </c>
      <c r="F531" s="163" t="n">
        <v>2</v>
      </c>
      <c r="G531" s="162">
        <f>커넥터수</f>
        <v/>
      </c>
      <c r="H531" s="161" t="inlineStr">
        <is>
          <t>◆</t>
        </is>
      </c>
    </row>
    <row r="532">
      <c r="A532" s="161" t="inlineStr"/>
      <c r="B532" s="161" t="inlineStr">
        <is>
          <t>ACC</t>
        </is>
      </c>
      <c r="C532" s="162" t="inlineStr">
        <is>
          <t xml:space="preserve">  ↳ 로크너트</t>
        </is>
      </c>
      <c r="D532" s="162" t="inlineStr">
        <is>
          <t>22mm</t>
        </is>
      </c>
      <c r="E532" s="161" t="inlineStr">
        <is>
          <t>EA</t>
        </is>
      </c>
      <c r="F532" s="163" t="n">
        <v>4</v>
      </c>
      <c r="G532" s="162">
        <f>커넥터×2</f>
        <v/>
      </c>
      <c r="H532" s="161" t="inlineStr">
        <is>
          <t>◆</t>
        </is>
      </c>
    </row>
    <row r="533">
      <c r="A533" s="161" t="inlineStr"/>
      <c r="B533" s="161" t="inlineStr">
        <is>
          <t>ACC</t>
        </is>
      </c>
      <c r="C533" s="162" t="inlineStr">
        <is>
          <t xml:space="preserve">  ↳ 새들</t>
        </is>
      </c>
      <c r="D533" s="162" t="inlineStr">
        <is>
          <t>22mm</t>
        </is>
      </c>
      <c r="E533" s="161" t="inlineStr">
        <is>
          <t>EA</t>
        </is>
      </c>
      <c r="F533" s="163" t="n">
        <v>7</v>
      </c>
      <c r="G533" s="162" t="inlineStr">
        <is>
          <t>10.4m÷1.5</t>
        </is>
      </c>
      <c r="H533" s="161" t="inlineStr">
        <is>
          <t>◆</t>
        </is>
      </c>
    </row>
    <row r="534" ht="14.25" customHeight="1" s="78">
      <c r="A534" s="158" t="inlineStr">
        <is>
          <t xml:space="preserve">  [7] ERV1 (전열교환기1)</t>
        </is>
      </c>
      <c r="B534" s="174" t="n"/>
      <c r="C534" s="174" t="n"/>
      <c r="D534" s="174" t="n"/>
      <c r="E534" s="174" t="n"/>
      <c r="F534" s="174" t="n"/>
      <c r="G534" s="174" t="n"/>
      <c r="H534" s="175" t="n"/>
    </row>
    <row r="535">
      <c r="A535" s="148" t="n">
        <v>1</v>
      </c>
      <c r="B535" s="148" t="inlineStr">
        <is>
          <t>MAT</t>
        </is>
      </c>
      <c r="C535" s="149" t="inlineStr">
        <is>
          <t>강제전선관 (ST)</t>
        </is>
      </c>
      <c r="D535" s="149" t="inlineStr">
        <is>
          <t>16mm</t>
        </is>
      </c>
      <c r="E535" s="148" t="inlineStr">
        <is>
          <t>m</t>
        </is>
      </c>
      <c r="F535" s="160" t="n">
        <v>13</v>
      </c>
      <c r="G535" s="149" t="inlineStr">
        <is>
          <t>길이산출 13.0m</t>
        </is>
      </c>
      <c r="H535" s="148" t="inlineStr">
        <is>
          <t>◆</t>
        </is>
      </c>
    </row>
    <row r="536">
      <c r="A536" s="148" t="n">
        <v>2</v>
      </c>
      <c r="B536" s="148" t="inlineStr">
        <is>
          <t>MAT</t>
        </is>
      </c>
      <c r="C536" s="149" t="inlineStr">
        <is>
          <t>HFIX 내열비닐</t>
        </is>
      </c>
      <c r="D536" s="149" t="inlineStr">
        <is>
          <t>2.5㎟ 3C</t>
        </is>
      </c>
      <c r="E536" s="148" t="inlineStr">
        <is>
          <t>m</t>
        </is>
      </c>
      <c r="F536" s="160" t="n">
        <v>39</v>
      </c>
      <c r="G536" s="149" t="inlineStr">
        <is>
          <t>배관13.0m×가닥수</t>
        </is>
      </c>
      <c r="H536" s="148" t="inlineStr">
        <is>
          <t>◆</t>
        </is>
      </c>
    </row>
    <row r="537">
      <c r="A537" s="161" t="inlineStr"/>
      <c r="B537" s="161" t="inlineStr">
        <is>
          <t>ACC</t>
        </is>
      </c>
      <c r="C537" s="162" t="inlineStr">
        <is>
          <t xml:space="preserve">  ↳ 커플링</t>
        </is>
      </c>
      <c r="D537" s="162" t="inlineStr">
        <is>
          <t>16mm</t>
        </is>
      </c>
      <c r="E537" s="161" t="inlineStr">
        <is>
          <t>EA</t>
        </is>
      </c>
      <c r="F537" s="163" t="n">
        <v>4</v>
      </c>
      <c r="G537" s="162" t="inlineStr">
        <is>
          <t>13.0m÷3.6</t>
        </is>
      </c>
      <c r="H537" s="161" t="inlineStr">
        <is>
          <t>◆</t>
        </is>
      </c>
    </row>
    <row r="538">
      <c r="A538" s="161" t="inlineStr"/>
      <c r="B538" s="161" t="inlineStr">
        <is>
          <t>ACC</t>
        </is>
      </c>
      <c r="C538" s="162" t="inlineStr">
        <is>
          <t xml:space="preserve">  ↳ 커넥터</t>
        </is>
      </c>
      <c r="D538" s="162" t="inlineStr">
        <is>
          <t>16mm</t>
        </is>
      </c>
      <c r="E538" s="161" t="inlineStr">
        <is>
          <t>EA</t>
        </is>
      </c>
      <c r="F538" s="163" t="n">
        <v>2</v>
      </c>
      <c r="G538" s="162" t="inlineStr">
        <is>
          <t>양단 2개</t>
        </is>
      </c>
      <c r="H538" s="161" t="inlineStr">
        <is>
          <t>◆</t>
        </is>
      </c>
    </row>
    <row r="539">
      <c r="A539" s="161" t="inlineStr"/>
      <c r="B539" s="161" t="inlineStr">
        <is>
          <t>ACC</t>
        </is>
      </c>
      <c r="C539" s="162" t="inlineStr">
        <is>
          <t xml:space="preserve">  ↳ 부싱</t>
        </is>
      </c>
      <c r="D539" s="162" t="inlineStr">
        <is>
          <t>16mm</t>
        </is>
      </c>
      <c r="E539" s="161" t="inlineStr">
        <is>
          <t>EA</t>
        </is>
      </c>
      <c r="F539" s="163" t="n">
        <v>2</v>
      </c>
      <c r="G539" s="162">
        <f>커넥터수</f>
        <v/>
      </c>
      <c r="H539" s="161" t="inlineStr">
        <is>
          <t>◆</t>
        </is>
      </c>
    </row>
    <row r="540">
      <c r="A540" s="161" t="inlineStr"/>
      <c r="B540" s="161" t="inlineStr">
        <is>
          <t>ACC</t>
        </is>
      </c>
      <c r="C540" s="162" t="inlineStr">
        <is>
          <t xml:space="preserve">  ↳ 로크너트</t>
        </is>
      </c>
      <c r="D540" s="162" t="inlineStr">
        <is>
          <t>16mm</t>
        </is>
      </c>
      <c r="E540" s="161" t="inlineStr">
        <is>
          <t>EA</t>
        </is>
      </c>
      <c r="F540" s="163" t="n">
        <v>4</v>
      </c>
      <c r="G540" s="162">
        <f>커넥터×2</f>
        <v/>
      </c>
      <c r="H540" s="161" t="inlineStr">
        <is>
          <t>◆</t>
        </is>
      </c>
    </row>
    <row r="541">
      <c r="A541" s="161" t="inlineStr"/>
      <c r="B541" s="161" t="inlineStr">
        <is>
          <t>ACC</t>
        </is>
      </c>
      <c r="C541" s="162" t="inlineStr">
        <is>
          <t xml:space="preserve">  ↳ 새들</t>
        </is>
      </c>
      <c r="D541" s="162" t="inlineStr">
        <is>
          <t>16mm</t>
        </is>
      </c>
      <c r="E541" s="161" t="inlineStr">
        <is>
          <t>EA</t>
        </is>
      </c>
      <c r="F541" s="163" t="n">
        <v>9</v>
      </c>
      <c r="G541" s="162" t="inlineStr">
        <is>
          <t>13.0m÷1.5</t>
        </is>
      </c>
      <c r="H541" s="161" t="inlineStr">
        <is>
          <t>◆</t>
        </is>
      </c>
    </row>
    <row r="542" ht="14.25" customHeight="1" s="78">
      <c r="A542" s="158" t="inlineStr">
        <is>
          <t xml:space="preserve">  [15] A2 (실내기2)</t>
        </is>
      </c>
      <c r="B542" s="174" t="n"/>
      <c r="C542" s="174" t="n"/>
      <c r="D542" s="174" t="n"/>
      <c r="E542" s="174" t="n"/>
      <c r="F542" s="174" t="n"/>
      <c r="G542" s="174" t="n"/>
      <c r="H542" s="175" t="n"/>
    </row>
    <row r="543">
      <c r="A543" s="148" t="n">
        <v>1</v>
      </c>
      <c r="B543" s="148" t="inlineStr">
        <is>
          <t>MAT</t>
        </is>
      </c>
      <c r="C543" s="149" t="inlineStr">
        <is>
          <t>강제전선관 (ST)</t>
        </is>
      </c>
      <c r="D543" s="149" t="inlineStr">
        <is>
          <t>22mm</t>
        </is>
      </c>
      <c r="E543" s="148" t="inlineStr">
        <is>
          <t>m</t>
        </is>
      </c>
      <c r="F543" s="160" t="n">
        <v>10.4</v>
      </c>
      <c r="G543" s="149" t="inlineStr">
        <is>
          <t>길이산출 10.4m</t>
        </is>
      </c>
      <c r="H543" s="148" t="inlineStr">
        <is>
          <t>◆</t>
        </is>
      </c>
    </row>
    <row r="544">
      <c r="A544" s="148" t="n">
        <v>2</v>
      </c>
      <c r="B544" s="148" t="inlineStr">
        <is>
          <t>MAT</t>
        </is>
      </c>
      <c r="C544" s="149" t="inlineStr">
        <is>
          <t>HFIX 내열비닐</t>
        </is>
      </c>
      <c r="D544" s="149" t="inlineStr">
        <is>
          <t>4㎟ 3C</t>
        </is>
      </c>
      <c r="E544" s="148" t="inlineStr">
        <is>
          <t>m</t>
        </is>
      </c>
      <c r="F544" s="160" t="n">
        <v>31.2</v>
      </c>
      <c r="G544" s="149" t="inlineStr">
        <is>
          <t>배관10.4m×가닥수</t>
        </is>
      </c>
      <c r="H544" s="148" t="inlineStr">
        <is>
          <t>◆</t>
        </is>
      </c>
    </row>
    <row r="545">
      <c r="A545" s="161" t="inlineStr"/>
      <c r="B545" s="161" t="inlineStr">
        <is>
          <t>ACC</t>
        </is>
      </c>
      <c r="C545" s="162" t="inlineStr">
        <is>
          <t xml:space="preserve">  ↳ 커플링</t>
        </is>
      </c>
      <c r="D545" s="162" t="inlineStr">
        <is>
          <t>22mm</t>
        </is>
      </c>
      <c r="E545" s="161" t="inlineStr">
        <is>
          <t>EA</t>
        </is>
      </c>
      <c r="F545" s="163" t="n">
        <v>3</v>
      </c>
      <c r="G545" s="162" t="inlineStr">
        <is>
          <t>10.4m÷3.6</t>
        </is>
      </c>
      <c r="H545" s="161" t="inlineStr">
        <is>
          <t>◆</t>
        </is>
      </c>
    </row>
    <row r="546">
      <c r="A546" s="161" t="inlineStr"/>
      <c r="B546" s="161" t="inlineStr">
        <is>
          <t>ACC</t>
        </is>
      </c>
      <c r="C546" s="162" t="inlineStr">
        <is>
          <t xml:space="preserve">  ↳ 커넥터</t>
        </is>
      </c>
      <c r="D546" s="162" t="inlineStr">
        <is>
          <t>22mm</t>
        </is>
      </c>
      <c r="E546" s="161" t="inlineStr">
        <is>
          <t>EA</t>
        </is>
      </c>
      <c r="F546" s="163" t="n">
        <v>2</v>
      </c>
      <c r="G546" s="162" t="inlineStr">
        <is>
          <t>양단 2개</t>
        </is>
      </c>
      <c r="H546" s="161" t="inlineStr">
        <is>
          <t>◆</t>
        </is>
      </c>
    </row>
    <row r="547">
      <c r="A547" s="161" t="inlineStr"/>
      <c r="B547" s="161" t="inlineStr">
        <is>
          <t>ACC</t>
        </is>
      </c>
      <c r="C547" s="162" t="inlineStr">
        <is>
          <t xml:space="preserve">  ↳ 부싱</t>
        </is>
      </c>
      <c r="D547" s="162" t="inlineStr">
        <is>
          <t>22mm</t>
        </is>
      </c>
      <c r="E547" s="161" t="inlineStr">
        <is>
          <t>EA</t>
        </is>
      </c>
      <c r="F547" s="163" t="n">
        <v>2</v>
      </c>
      <c r="G547" s="162">
        <f>커넥터수</f>
        <v/>
      </c>
      <c r="H547" s="161" t="inlineStr">
        <is>
          <t>◆</t>
        </is>
      </c>
    </row>
    <row r="548">
      <c r="A548" s="161" t="inlineStr"/>
      <c r="B548" s="161" t="inlineStr">
        <is>
          <t>ACC</t>
        </is>
      </c>
      <c r="C548" s="162" t="inlineStr">
        <is>
          <t xml:space="preserve">  ↳ 로크너트</t>
        </is>
      </c>
      <c r="D548" s="162" t="inlineStr">
        <is>
          <t>22mm</t>
        </is>
      </c>
      <c r="E548" s="161" t="inlineStr">
        <is>
          <t>EA</t>
        </is>
      </c>
      <c r="F548" s="163" t="n">
        <v>4</v>
      </c>
      <c r="G548" s="162">
        <f>커넥터×2</f>
        <v/>
      </c>
      <c r="H548" s="161" t="inlineStr">
        <is>
          <t>◆</t>
        </is>
      </c>
    </row>
    <row r="549">
      <c r="A549" s="161" t="inlineStr"/>
      <c r="B549" s="161" t="inlineStr">
        <is>
          <t>ACC</t>
        </is>
      </c>
      <c r="C549" s="162" t="inlineStr">
        <is>
          <t xml:space="preserve">  ↳ 새들</t>
        </is>
      </c>
      <c r="D549" s="162" t="inlineStr">
        <is>
          <t>22mm</t>
        </is>
      </c>
      <c r="E549" s="161" t="inlineStr">
        <is>
          <t>EA</t>
        </is>
      </c>
      <c r="F549" s="163" t="n">
        <v>7</v>
      </c>
      <c r="G549" s="162" t="inlineStr">
        <is>
          <t>10.4m÷1.5</t>
        </is>
      </c>
      <c r="H549" s="161" t="inlineStr">
        <is>
          <t>◆</t>
        </is>
      </c>
    </row>
    <row r="550" ht="14.25" customHeight="1" s="78">
      <c r="A550" s="158" t="inlineStr">
        <is>
          <t xml:space="preserve">  [19] ERV2 (전열교환기2)</t>
        </is>
      </c>
      <c r="B550" s="174" t="n"/>
      <c r="C550" s="174" t="n"/>
      <c r="D550" s="174" t="n"/>
      <c r="E550" s="174" t="n"/>
      <c r="F550" s="174" t="n"/>
      <c r="G550" s="174" t="n"/>
      <c r="H550" s="175" t="n"/>
    </row>
    <row r="551">
      <c r="A551" s="148" t="n">
        <v>1</v>
      </c>
      <c r="B551" s="148" t="inlineStr">
        <is>
          <t>MAT</t>
        </is>
      </c>
      <c r="C551" s="149" t="inlineStr">
        <is>
          <t>강제전선관 (ST)</t>
        </is>
      </c>
      <c r="D551" s="149" t="inlineStr">
        <is>
          <t>16mm</t>
        </is>
      </c>
      <c r="E551" s="148" t="inlineStr">
        <is>
          <t>m</t>
        </is>
      </c>
      <c r="F551" s="160" t="n">
        <v>13</v>
      </c>
      <c r="G551" s="149" t="inlineStr">
        <is>
          <t>길이산출 13.0m</t>
        </is>
      </c>
      <c r="H551" s="148" t="inlineStr">
        <is>
          <t>◆</t>
        </is>
      </c>
    </row>
    <row r="552">
      <c r="A552" s="148" t="n">
        <v>2</v>
      </c>
      <c r="B552" s="148" t="inlineStr">
        <is>
          <t>MAT</t>
        </is>
      </c>
      <c r="C552" s="149" t="inlineStr">
        <is>
          <t>HFIX 내열비닐</t>
        </is>
      </c>
      <c r="D552" s="149" t="inlineStr">
        <is>
          <t>2.5㎟ 3C</t>
        </is>
      </c>
      <c r="E552" s="148" t="inlineStr">
        <is>
          <t>m</t>
        </is>
      </c>
      <c r="F552" s="160" t="n">
        <v>39</v>
      </c>
      <c r="G552" s="149" t="inlineStr">
        <is>
          <t>배관13.0m×가닥수</t>
        </is>
      </c>
      <c r="H552" s="148" t="inlineStr">
        <is>
          <t>◆</t>
        </is>
      </c>
    </row>
    <row r="553">
      <c r="A553" s="161" t="inlineStr"/>
      <c r="B553" s="161" t="inlineStr">
        <is>
          <t>ACC</t>
        </is>
      </c>
      <c r="C553" s="162" t="inlineStr">
        <is>
          <t xml:space="preserve">  ↳ 커플링</t>
        </is>
      </c>
      <c r="D553" s="162" t="inlineStr">
        <is>
          <t>16mm</t>
        </is>
      </c>
      <c r="E553" s="161" t="inlineStr">
        <is>
          <t>EA</t>
        </is>
      </c>
      <c r="F553" s="163" t="n">
        <v>4</v>
      </c>
      <c r="G553" s="162" t="inlineStr">
        <is>
          <t>13.0m÷3.6</t>
        </is>
      </c>
      <c r="H553" s="161" t="inlineStr">
        <is>
          <t>◆</t>
        </is>
      </c>
    </row>
    <row r="554">
      <c r="A554" s="161" t="inlineStr"/>
      <c r="B554" s="161" t="inlineStr">
        <is>
          <t>ACC</t>
        </is>
      </c>
      <c r="C554" s="162" t="inlineStr">
        <is>
          <t xml:space="preserve">  ↳ 커넥터</t>
        </is>
      </c>
      <c r="D554" s="162" t="inlineStr">
        <is>
          <t>16mm</t>
        </is>
      </c>
      <c r="E554" s="161" t="inlineStr">
        <is>
          <t>EA</t>
        </is>
      </c>
      <c r="F554" s="163" t="n">
        <v>2</v>
      </c>
      <c r="G554" s="162" t="inlineStr">
        <is>
          <t>양단 2개</t>
        </is>
      </c>
      <c r="H554" s="161" t="inlineStr">
        <is>
          <t>◆</t>
        </is>
      </c>
    </row>
    <row r="555">
      <c r="A555" s="161" t="inlineStr"/>
      <c r="B555" s="161" t="inlineStr">
        <is>
          <t>ACC</t>
        </is>
      </c>
      <c r="C555" s="162" t="inlineStr">
        <is>
          <t xml:space="preserve">  ↳ 부싱</t>
        </is>
      </c>
      <c r="D555" s="162" t="inlineStr">
        <is>
          <t>16mm</t>
        </is>
      </c>
      <c r="E555" s="161" t="inlineStr">
        <is>
          <t>EA</t>
        </is>
      </c>
      <c r="F555" s="163" t="n">
        <v>2</v>
      </c>
      <c r="G555" s="162">
        <f>커넥터수</f>
        <v/>
      </c>
      <c r="H555" s="161" t="inlineStr">
        <is>
          <t>◆</t>
        </is>
      </c>
    </row>
    <row r="556">
      <c r="A556" s="161" t="inlineStr"/>
      <c r="B556" s="161" t="inlineStr">
        <is>
          <t>ACC</t>
        </is>
      </c>
      <c r="C556" s="162" t="inlineStr">
        <is>
          <t xml:space="preserve">  ↳ 로크너트</t>
        </is>
      </c>
      <c r="D556" s="162" t="inlineStr">
        <is>
          <t>16mm</t>
        </is>
      </c>
      <c r="E556" s="161" t="inlineStr">
        <is>
          <t>EA</t>
        </is>
      </c>
      <c r="F556" s="163" t="n">
        <v>4</v>
      </c>
      <c r="G556" s="162">
        <f>커넥터×2</f>
        <v/>
      </c>
      <c r="H556" s="161" t="inlineStr">
        <is>
          <t>◆</t>
        </is>
      </c>
    </row>
    <row r="557">
      <c r="A557" s="161" t="inlineStr"/>
      <c r="B557" s="161" t="inlineStr">
        <is>
          <t>ACC</t>
        </is>
      </c>
      <c r="C557" s="162" t="inlineStr">
        <is>
          <t xml:space="preserve">  ↳ 새들</t>
        </is>
      </c>
      <c r="D557" s="162" t="inlineStr">
        <is>
          <t>16mm</t>
        </is>
      </c>
      <c r="E557" s="161" t="inlineStr">
        <is>
          <t>EA</t>
        </is>
      </c>
      <c r="F557" s="163" t="n">
        <v>9</v>
      </c>
      <c r="G557" s="162" t="inlineStr">
        <is>
          <t>13.0m÷1.5</t>
        </is>
      </c>
      <c r="H557" s="161" t="inlineStr">
        <is>
          <t>◆</t>
        </is>
      </c>
    </row>
    <row r="558" ht="14.25" customHeight="1" s="78">
      <c r="A558" s="158" t="inlineStr">
        <is>
          <t xml:space="preserve">  [22] P1 (방화셔터1)</t>
        </is>
      </c>
      <c r="B558" s="174" t="n"/>
      <c r="C558" s="174" t="n"/>
      <c r="D558" s="174" t="n"/>
      <c r="E558" s="174" t="n"/>
      <c r="F558" s="174" t="n"/>
      <c r="G558" s="174" t="n"/>
      <c r="H558" s="175" t="n"/>
    </row>
    <row r="559">
      <c r="A559" s="148" t="n">
        <v>1</v>
      </c>
      <c r="B559" s="148" t="inlineStr">
        <is>
          <t>MAT</t>
        </is>
      </c>
      <c r="C559" s="149" t="inlineStr">
        <is>
          <t>강제전선관 (ST)</t>
        </is>
      </c>
      <c r="D559" s="149" t="inlineStr">
        <is>
          <t>22mm</t>
        </is>
      </c>
      <c r="E559" s="148" t="inlineStr">
        <is>
          <t>m</t>
        </is>
      </c>
      <c r="F559" s="160" t="n">
        <v>13</v>
      </c>
      <c r="G559" s="149" t="inlineStr">
        <is>
          <t>길이산출 13.0m</t>
        </is>
      </c>
      <c r="H559" s="148" t="inlineStr">
        <is>
          <t>◆</t>
        </is>
      </c>
    </row>
    <row r="560">
      <c r="A560" s="148" t="n">
        <v>2</v>
      </c>
      <c r="B560" s="148" t="inlineStr">
        <is>
          <t>MAT</t>
        </is>
      </c>
      <c r="C560" s="149" t="inlineStr">
        <is>
          <t>HFIX 내열비닐</t>
        </is>
      </c>
      <c r="D560" s="149" t="inlineStr">
        <is>
          <t>4㎟ 3C</t>
        </is>
      </c>
      <c r="E560" s="148" t="inlineStr">
        <is>
          <t>m</t>
        </is>
      </c>
      <c r="F560" s="160" t="n">
        <v>39</v>
      </c>
      <c r="G560" s="149" t="inlineStr">
        <is>
          <t>배관13.0m×가닥수</t>
        </is>
      </c>
      <c r="H560" s="148" t="inlineStr">
        <is>
          <t>◆</t>
        </is>
      </c>
    </row>
    <row r="561">
      <c r="A561" s="161" t="inlineStr"/>
      <c r="B561" s="161" t="inlineStr">
        <is>
          <t>ACC</t>
        </is>
      </c>
      <c r="C561" s="162" t="inlineStr">
        <is>
          <t xml:space="preserve">  ↳ 커플링</t>
        </is>
      </c>
      <c r="D561" s="162" t="inlineStr">
        <is>
          <t>22mm</t>
        </is>
      </c>
      <c r="E561" s="161" t="inlineStr">
        <is>
          <t>EA</t>
        </is>
      </c>
      <c r="F561" s="163" t="n">
        <v>4</v>
      </c>
      <c r="G561" s="162" t="inlineStr">
        <is>
          <t>13.0m÷3.6</t>
        </is>
      </c>
      <c r="H561" s="161" t="inlineStr">
        <is>
          <t>◆</t>
        </is>
      </c>
    </row>
    <row r="562">
      <c r="A562" s="161" t="inlineStr"/>
      <c r="B562" s="161" t="inlineStr">
        <is>
          <t>ACC</t>
        </is>
      </c>
      <c r="C562" s="162" t="inlineStr">
        <is>
          <t xml:space="preserve">  ↳ 커넥터</t>
        </is>
      </c>
      <c r="D562" s="162" t="inlineStr">
        <is>
          <t>22mm</t>
        </is>
      </c>
      <c r="E562" s="161" t="inlineStr">
        <is>
          <t>EA</t>
        </is>
      </c>
      <c r="F562" s="163" t="n">
        <v>2</v>
      </c>
      <c r="G562" s="162" t="inlineStr">
        <is>
          <t>양단 2개</t>
        </is>
      </c>
      <c r="H562" s="161" t="inlineStr">
        <is>
          <t>◆</t>
        </is>
      </c>
    </row>
    <row r="563">
      <c r="A563" s="161" t="inlineStr"/>
      <c r="B563" s="161" t="inlineStr">
        <is>
          <t>ACC</t>
        </is>
      </c>
      <c r="C563" s="162" t="inlineStr">
        <is>
          <t xml:space="preserve">  ↳ 부싱</t>
        </is>
      </c>
      <c r="D563" s="162" t="inlineStr">
        <is>
          <t>22mm</t>
        </is>
      </c>
      <c r="E563" s="161" t="inlineStr">
        <is>
          <t>EA</t>
        </is>
      </c>
      <c r="F563" s="163" t="n">
        <v>2</v>
      </c>
      <c r="G563" s="162">
        <f>커넥터수</f>
        <v/>
      </c>
      <c r="H563" s="161" t="inlineStr">
        <is>
          <t>◆</t>
        </is>
      </c>
    </row>
    <row r="564">
      <c r="A564" s="161" t="inlineStr"/>
      <c r="B564" s="161" t="inlineStr">
        <is>
          <t>ACC</t>
        </is>
      </c>
      <c r="C564" s="162" t="inlineStr">
        <is>
          <t xml:space="preserve">  ↳ 로크너트</t>
        </is>
      </c>
      <c r="D564" s="162" t="inlineStr">
        <is>
          <t>22mm</t>
        </is>
      </c>
      <c r="E564" s="161" t="inlineStr">
        <is>
          <t>EA</t>
        </is>
      </c>
      <c r="F564" s="163" t="n">
        <v>4</v>
      </c>
      <c r="G564" s="162">
        <f>커넥터×2</f>
        <v/>
      </c>
      <c r="H564" s="161" t="inlineStr">
        <is>
          <t>◆</t>
        </is>
      </c>
    </row>
    <row r="565">
      <c r="A565" s="161" t="inlineStr"/>
      <c r="B565" s="161" t="inlineStr">
        <is>
          <t>ACC</t>
        </is>
      </c>
      <c r="C565" s="162" t="inlineStr">
        <is>
          <t xml:space="preserve">  ↳ 새들</t>
        </is>
      </c>
      <c r="D565" s="162" t="inlineStr">
        <is>
          <t>22mm</t>
        </is>
      </c>
      <c r="E565" s="161" t="inlineStr">
        <is>
          <t>EA</t>
        </is>
      </c>
      <c r="F565" s="163" t="n">
        <v>9</v>
      </c>
      <c r="G565" s="162" t="inlineStr">
        <is>
          <t>13.0m÷1.5</t>
        </is>
      </c>
      <c r="H565" s="161" t="inlineStr">
        <is>
          <t>◆</t>
        </is>
      </c>
    </row>
    <row r="566" ht="14.25" customHeight="1" s="78">
      <c r="A566" s="158" t="inlineStr">
        <is>
          <t xml:space="preserve">  [23] P2 (방화셔터2)</t>
        </is>
      </c>
      <c r="B566" s="174" t="n"/>
      <c r="C566" s="174" t="n"/>
      <c r="D566" s="174" t="n"/>
      <c r="E566" s="174" t="n"/>
      <c r="F566" s="174" t="n"/>
      <c r="G566" s="174" t="n"/>
      <c r="H566" s="175" t="n"/>
    </row>
    <row r="567">
      <c r="A567" s="148" t="n">
        <v>1</v>
      </c>
      <c r="B567" s="148" t="inlineStr">
        <is>
          <t>MAT</t>
        </is>
      </c>
      <c r="C567" s="149" t="inlineStr">
        <is>
          <t>강제전선관 (ST)</t>
        </is>
      </c>
      <c r="D567" s="149" t="inlineStr">
        <is>
          <t>22mm</t>
        </is>
      </c>
      <c r="E567" s="148" t="inlineStr">
        <is>
          <t>m</t>
        </is>
      </c>
      <c r="F567" s="160" t="n">
        <v>13</v>
      </c>
      <c r="G567" s="149" t="inlineStr">
        <is>
          <t>길이산출 13.0m</t>
        </is>
      </c>
      <c r="H567" s="148" t="inlineStr">
        <is>
          <t>◆</t>
        </is>
      </c>
    </row>
    <row r="568">
      <c r="A568" s="148" t="n">
        <v>2</v>
      </c>
      <c r="B568" s="148" t="inlineStr">
        <is>
          <t>MAT</t>
        </is>
      </c>
      <c r="C568" s="149" t="inlineStr">
        <is>
          <t>HFIX 내열비닐</t>
        </is>
      </c>
      <c r="D568" s="149" t="inlineStr">
        <is>
          <t>4㎟ 3C</t>
        </is>
      </c>
      <c r="E568" s="148" t="inlineStr">
        <is>
          <t>m</t>
        </is>
      </c>
      <c r="F568" s="160" t="n">
        <v>39</v>
      </c>
      <c r="G568" s="149" t="inlineStr">
        <is>
          <t>배관13.0m×가닥수</t>
        </is>
      </c>
      <c r="H568" s="148" t="inlineStr">
        <is>
          <t>◆</t>
        </is>
      </c>
    </row>
    <row r="569">
      <c r="A569" s="161" t="inlineStr"/>
      <c r="B569" s="161" t="inlineStr">
        <is>
          <t>ACC</t>
        </is>
      </c>
      <c r="C569" s="162" t="inlineStr">
        <is>
          <t xml:space="preserve">  ↳ 커플링</t>
        </is>
      </c>
      <c r="D569" s="162" t="inlineStr">
        <is>
          <t>22mm</t>
        </is>
      </c>
      <c r="E569" s="161" t="inlineStr">
        <is>
          <t>EA</t>
        </is>
      </c>
      <c r="F569" s="163" t="n">
        <v>4</v>
      </c>
      <c r="G569" s="162" t="inlineStr">
        <is>
          <t>13.0m÷3.6</t>
        </is>
      </c>
      <c r="H569" s="161" t="inlineStr">
        <is>
          <t>◆</t>
        </is>
      </c>
    </row>
    <row r="570">
      <c r="A570" s="161" t="inlineStr"/>
      <c r="B570" s="161" t="inlineStr">
        <is>
          <t>ACC</t>
        </is>
      </c>
      <c r="C570" s="162" t="inlineStr">
        <is>
          <t xml:space="preserve">  ↳ 커넥터</t>
        </is>
      </c>
      <c r="D570" s="162" t="inlineStr">
        <is>
          <t>22mm</t>
        </is>
      </c>
      <c r="E570" s="161" t="inlineStr">
        <is>
          <t>EA</t>
        </is>
      </c>
      <c r="F570" s="163" t="n">
        <v>2</v>
      </c>
      <c r="G570" s="162" t="inlineStr">
        <is>
          <t>양단 2개</t>
        </is>
      </c>
      <c r="H570" s="161" t="inlineStr">
        <is>
          <t>◆</t>
        </is>
      </c>
    </row>
    <row r="571">
      <c r="A571" s="161" t="inlineStr"/>
      <c r="B571" s="161" t="inlineStr">
        <is>
          <t>ACC</t>
        </is>
      </c>
      <c r="C571" s="162" t="inlineStr">
        <is>
          <t xml:space="preserve">  ↳ 부싱</t>
        </is>
      </c>
      <c r="D571" s="162" t="inlineStr">
        <is>
          <t>22mm</t>
        </is>
      </c>
      <c r="E571" s="161" t="inlineStr">
        <is>
          <t>EA</t>
        </is>
      </c>
      <c r="F571" s="163" t="n">
        <v>2</v>
      </c>
      <c r="G571" s="162">
        <f>커넥터수</f>
        <v/>
      </c>
      <c r="H571" s="161" t="inlineStr">
        <is>
          <t>◆</t>
        </is>
      </c>
    </row>
    <row r="572">
      <c r="A572" s="161" t="inlineStr"/>
      <c r="B572" s="161" t="inlineStr">
        <is>
          <t>ACC</t>
        </is>
      </c>
      <c r="C572" s="162" t="inlineStr">
        <is>
          <t xml:space="preserve">  ↳ 로크너트</t>
        </is>
      </c>
      <c r="D572" s="162" t="inlineStr">
        <is>
          <t>22mm</t>
        </is>
      </c>
      <c r="E572" s="161" t="inlineStr">
        <is>
          <t>EA</t>
        </is>
      </c>
      <c r="F572" s="163" t="n">
        <v>4</v>
      </c>
      <c r="G572" s="162">
        <f>커넥터×2</f>
        <v/>
      </c>
      <c r="H572" s="161" t="inlineStr">
        <is>
          <t>◆</t>
        </is>
      </c>
    </row>
    <row r="573">
      <c r="A573" s="161" t="inlineStr"/>
      <c r="B573" s="161" t="inlineStr">
        <is>
          <t>ACC</t>
        </is>
      </c>
      <c r="C573" s="162" t="inlineStr">
        <is>
          <t xml:space="preserve">  ↳ 새들</t>
        </is>
      </c>
      <c r="D573" s="162" t="inlineStr">
        <is>
          <t>22mm</t>
        </is>
      </c>
      <c r="E573" s="161" t="inlineStr">
        <is>
          <t>EA</t>
        </is>
      </c>
      <c r="F573" s="163" t="n">
        <v>9</v>
      </c>
      <c r="G573" s="162" t="inlineStr">
        <is>
          <t>13.0m÷1.5</t>
        </is>
      </c>
      <c r="H573" s="161" t="inlineStr">
        <is>
          <t>◆</t>
        </is>
      </c>
    </row>
    <row r="574">
      <c r="A574" s="161" t="inlineStr"/>
      <c r="B574" s="161" t="inlineStr">
        <is>
          <t>SUP</t>
        </is>
      </c>
      <c r="C574" s="162" t="inlineStr">
        <is>
          <t>전산볼트 M10 × 1m</t>
        </is>
      </c>
      <c r="D574" s="162" t="inlineStr">
        <is>
          <t>M10</t>
        </is>
      </c>
      <c r="E574" s="161" t="inlineStr">
        <is>
          <t>EA</t>
        </is>
      </c>
      <c r="F574" s="163" t="n">
        <v>78</v>
      </c>
      <c r="G574" s="162" t="inlineStr">
        <is>
          <t>총배관115.7m÷1.5</t>
        </is>
      </c>
      <c r="H574" s="161" t="inlineStr">
        <is>
          <t>◆</t>
        </is>
      </c>
    </row>
    <row r="575">
      <c r="A575" s="161" t="inlineStr"/>
      <c r="B575" s="161" t="inlineStr">
        <is>
          <t>SUP</t>
        </is>
      </c>
      <c r="C575" s="162" t="inlineStr">
        <is>
          <t>유크램프</t>
        </is>
      </c>
      <c r="D575" s="162" t="inlineStr">
        <is>
          <t>공용</t>
        </is>
      </c>
      <c r="E575" s="161" t="inlineStr">
        <is>
          <t>EA</t>
        </is>
      </c>
      <c r="F575" s="163" t="n">
        <v>78</v>
      </c>
      <c r="G575" s="162" t="inlineStr">
        <is>
          <t>총배관115.7m÷1.5</t>
        </is>
      </c>
      <c r="H575" s="161" t="inlineStr">
        <is>
          <t>◆</t>
        </is>
      </c>
    </row>
    <row r="576">
      <c r="A576" s="161" t="inlineStr"/>
      <c r="B576" s="161" t="inlineStr">
        <is>
          <t>CMN</t>
        </is>
      </c>
      <c r="C576" s="162" t="inlineStr">
        <is>
          <t>아울렛 박스 (4각)</t>
        </is>
      </c>
      <c r="D576" s="162" t="inlineStr">
        <is>
          <t>4각</t>
        </is>
      </c>
      <c r="E576" s="161" t="inlineStr">
        <is>
          <t>EA</t>
        </is>
      </c>
      <c r="F576" s="163" t="n">
        <v>14</v>
      </c>
      <c r="G576" s="162" t="inlineStr">
        <is>
          <t>접속점14개</t>
        </is>
      </c>
      <c r="H576" s="161" t="inlineStr">
        <is>
          <t>▲</t>
        </is>
      </c>
    </row>
    <row r="577">
      <c r="A577" s="161" t="inlineStr"/>
      <c r="B577" s="161" t="inlineStr">
        <is>
          <t>CMN</t>
        </is>
      </c>
      <c r="C577" s="162" t="inlineStr">
        <is>
          <t>풀박스</t>
        </is>
      </c>
      <c r="D577" s="162" t="inlineStr">
        <is>
          <t>200×200</t>
        </is>
      </c>
      <c r="E577" s="161" t="inlineStr">
        <is>
          <t>EA</t>
        </is>
      </c>
      <c r="F577" s="163" t="n">
        <v>3</v>
      </c>
      <c r="G577" s="162" t="inlineStr">
        <is>
          <t>115.7m÷30</t>
        </is>
      </c>
      <c r="H577" s="161" t="inlineStr">
        <is>
          <t>▲</t>
        </is>
      </c>
    </row>
    <row r="578">
      <c r="A578" s="161" t="inlineStr"/>
      <c r="B578" s="161" t="inlineStr">
        <is>
          <t>CMN</t>
        </is>
      </c>
      <c r="C578" s="162" t="inlineStr">
        <is>
          <t>와이어 커넥터</t>
        </is>
      </c>
      <c r="D578" s="162" t="inlineStr">
        <is>
          <t>중</t>
        </is>
      </c>
      <c r="E578" s="161" t="inlineStr">
        <is>
          <t>셋</t>
        </is>
      </c>
      <c r="F578" s="163" t="n">
        <v>42</v>
      </c>
      <c r="G578" s="162" t="inlineStr">
        <is>
          <t>접속점14×3</t>
        </is>
      </c>
      <c r="H578" s="161" t="inlineStr">
        <is>
          <t>▲</t>
        </is>
      </c>
    </row>
    <row r="579">
      <c r="A579" s="161" t="inlineStr"/>
      <c r="B579" s="161" t="inlineStr">
        <is>
          <t>CMN</t>
        </is>
      </c>
      <c r="C579" s="162" t="inlineStr">
        <is>
          <t>PVC 테이프</t>
        </is>
      </c>
      <c r="D579" s="162" t="inlineStr">
        <is>
          <t>19mm</t>
        </is>
      </c>
      <c r="E579" s="161" t="inlineStr">
        <is>
          <t>롤</t>
        </is>
      </c>
      <c r="F579" s="163" t="n">
        <v>2</v>
      </c>
      <c r="G579" s="162" t="inlineStr">
        <is>
          <t>접속점14÷10</t>
        </is>
      </c>
      <c r="H579" s="161" t="inlineStr">
        <is>
          <t>▲</t>
        </is>
      </c>
    </row>
    <row r="580" ht="14.25" customHeight="1" s="78">
      <c r="A580" s="165" t="inlineStr">
        <is>
          <t>( 2F 동력·환기공사 소계 )</t>
        </is>
      </c>
      <c r="B580" s="174" t="n"/>
      <c r="C580" s="174" t="n"/>
      <c r="D580" s="174" t="n"/>
      <c r="E580" s="174" t="n"/>
      <c r="F580" s="174" t="n"/>
      <c r="G580" s="174" t="n"/>
      <c r="H580" s="175" t="n"/>
    </row>
    <row r="581">
      <c r="A581" s="167" t="inlineStr"/>
      <c r="B581" s="167" t="inlineStr">
        <is>
          <t>MAT</t>
        </is>
      </c>
      <c r="C581" s="168" t="inlineStr">
        <is>
          <t>HFIX 내열비닐</t>
        </is>
      </c>
      <c r="D581" s="168" t="inlineStr">
        <is>
          <t>2.5㎟ 3C</t>
        </is>
      </c>
      <c r="E581" s="167" t="inlineStr">
        <is>
          <t>m</t>
        </is>
      </c>
      <c r="F581" s="169" t="n">
        <v>78</v>
      </c>
      <c r="G581" s="168" t="inlineStr">
        <is>
          <t>7(39.0)+19(39.0)</t>
        </is>
      </c>
      <c r="H581" s="167" t="inlineStr"/>
    </row>
    <row r="582">
      <c r="A582" s="167" t="inlineStr"/>
      <c r="B582" s="167" t="inlineStr">
        <is>
          <t>MAT</t>
        </is>
      </c>
      <c r="C582" s="168" t="inlineStr">
        <is>
          <t>HFIX 내열비닐</t>
        </is>
      </c>
      <c r="D582" s="168" t="inlineStr">
        <is>
          <t>4㎟ 3C</t>
        </is>
      </c>
      <c r="E582" s="167" t="inlineStr">
        <is>
          <t>m</t>
        </is>
      </c>
      <c r="F582" s="169" t="n">
        <v>140.4</v>
      </c>
      <c r="G582" s="168" t="inlineStr">
        <is>
          <t>3(31.2)+15(31.2)+22(39.0)+23(39.0)</t>
        </is>
      </c>
      <c r="H582" s="167" t="inlineStr"/>
    </row>
    <row r="583">
      <c r="A583" s="167" t="inlineStr"/>
      <c r="B583" s="167" t="inlineStr">
        <is>
          <t>MAT</t>
        </is>
      </c>
      <c r="C583" s="168" t="inlineStr">
        <is>
          <t>HFIX 내열비닐</t>
        </is>
      </c>
      <c r="D583" s="168" t="inlineStr">
        <is>
          <t>4㎟ 4C</t>
        </is>
      </c>
      <c r="E583" s="167" t="inlineStr">
        <is>
          <t>m</t>
        </is>
      </c>
      <c r="F583" s="169" t="n">
        <v>171.6</v>
      </c>
      <c r="G583" s="168" t="inlineStr">
        <is>
          <t>1(171.6)</t>
        </is>
      </c>
      <c r="H583" s="167" t="inlineStr"/>
    </row>
    <row r="584">
      <c r="A584" s="167" t="inlineStr"/>
      <c r="B584" s="167" t="inlineStr">
        <is>
          <t>MAT</t>
        </is>
      </c>
      <c r="C584" s="168" t="inlineStr">
        <is>
          <t>강제전선관 (ST)</t>
        </is>
      </c>
      <c r="D584" s="168" t="inlineStr">
        <is>
          <t>16mm</t>
        </is>
      </c>
      <c r="E584" s="167" t="inlineStr">
        <is>
          <t>m</t>
        </is>
      </c>
      <c r="F584" s="169" t="n">
        <v>26</v>
      </c>
      <c r="G584" s="168" t="inlineStr">
        <is>
          <t>7(13.0)+19(13.0)</t>
        </is>
      </c>
      <c r="H584" s="167" t="inlineStr"/>
    </row>
    <row r="585">
      <c r="A585" s="167" t="inlineStr"/>
      <c r="B585" s="167" t="inlineStr">
        <is>
          <t>MAT</t>
        </is>
      </c>
      <c r="C585" s="168" t="inlineStr">
        <is>
          <t>강제전선관 (ST)</t>
        </is>
      </c>
      <c r="D585" s="168" t="inlineStr">
        <is>
          <t>22mm</t>
        </is>
      </c>
      <c r="E585" s="167" t="inlineStr">
        <is>
          <t>m</t>
        </is>
      </c>
      <c r="F585" s="169" t="n">
        <v>89.7</v>
      </c>
      <c r="G585" s="168" t="inlineStr">
        <is>
          <t>1(42.9)+3(10.4)+15(10.4)+22(13.0)+23(13.0)</t>
        </is>
      </c>
      <c r="H585" s="167" t="inlineStr"/>
    </row>
    <row r="586">
      <c r="A586" s="167" t="inlineStr"/>
      <c r="B586" s="167" t="inlineStr">
        <is>
          <t>ACC</t>
        </is>
      </c>
      <c r="C586" s="168" t="inlineStr">
        <is>
          <t>로크너트</t>
        </is>
      </c>
      <c r="D586" s="168" t="inlineStr">
        <is>
          <t>16mm</t>
        </is>
      </c>
      <c r="E586" s="167" t="inlineStr">
        <is>
          <t>EA</t>
        </is>
      </c>
      <c r="F586" s="170" t="n">
        <v>8</v>
      </c>
      <c r="G586" s="168" t="inlineStr">
        <is>
          <t>7(4)+19(4)</t>
        </is>
      </c>
      <c r="H586" s="167" t="inlineStr"/>
    </row>
    <row r="587">
      <c r="A587" s="167" t="inlineStr"/>
      <c r="B587" s="167" t="inlineStr">
        <is>
          <t>ACC</t>
        </is>
      </c>
      <c r="C587" s="168" t="inlineStr">
        <is>
          <t>로크너트</t>
        </is>
      </c>
      <c r="D587" s="168" t="inlineStr">
        <is>
          <t>22mm</t>
        </is>
      </c>
      <c r="E587" s="167" t="inlineStr">
        <is>
          <t>EA</t>
        </is>
      </c>
      <c r="F587" s="170" t="n">
        <v>20</v>
      </c>
      <c r="G587" s="168" t="inlineStr">
        <is>
          <t>1(4)+3(4)+15(4)+22(4)+23(4)</t>
        </is>
      </c>
      <c r="H587" s="167" t="inlineStr"/>
    </row>
    <row r="588">
      <c r="A588" s="167" t="inlineStr"/>
      <c r="B588" s="167" t="inlineStr">
        <is>
          <t>ACC</t>
        </is>
      </c>
      <c r="C588" s="168" t="inlineStr">
        <is>
          <t>부싱</t>
        </is>
      </c>
      <c r="D588" s="168" t="inlineStr">
        <is>
          <t>16mm</t>
        </is>
      </c>
      <c r="E588" s="167" t="inlineStr">
        <is>
          <t>EA</t>
        </is>
      </c>
      <c r="F588" s="170" t="n">
        <v>4</v>
      </c>
      <c r="G588" s="168" t="inlineStr">
        <is>
          <t>7(2)+19(2)</t>
        </is>
      </c>
      <c r="H588" s="167" t="inlineStr"/>
    </row>
    <row r="589">
      <c r="A589" s="167" t="inlineStr"/>
      <c r="B589" s="167" t="inlineStr">
        <is>
          <t>ACC</t>
        </is>
      </c>
      <c r="C589" s="168" t="inlineStr">
        <is>
          <t>부싱</t>
        </is>
      </c>
      <c r="D589" s="168" t="inlineStr">
        <is>
          <t>22mm</t>
        </is>
      </c>
      <c r="E589" s="167" t="inlineStr">
        <is>
          <t>EA</t>
        </is>
      </c>
      <c r="F589" s="170" t="n">
        <v>10</v>
      </c>
      <c r="G589" s="168" t="inlineStr">
        <is>
          <t>1(2)+3(2)+15(2)+22(2)+23(2)</t>
        </is>
      </c>
      <c r="H589" s="167" t="inlineStr"/>
    </row>
    <row r="590">
      <c r="A590" s="167" t="inlineStr"/>
      <c r="B590" s="167" t="inlineStr">
        <is>
          <t>ACC</t>
        </is>
      </c>
      <c r="C590" s="168" t="inlineStr">
        <is>
          <t>새들</t>
        </is>
      </c>
      <c r="D590" s="168" t="inlineStr">
        <is>
          <t>16mm</t>
        </is>
      </c>
      <c r="E590" s="167" t="inlineStr">
        <is>
          <t>EA</t>
        </is>
      </c>
      <c r="F590" s="170" t="n">
        <v>18</v>
      </c>
      <c r="G590" s="168" t="inlineStr">
        <is>
          <t>7(9)+19(9)</t>
        </is>
      </c>
      <c r="H590" s="167" t="inlineStr"/>
    </row>
    <row r="591">
      <c r="A591" s="167" t="inlineStr"/>
      <c r="B591" s="167" t="inlineStr">
        <is>
          <t>ACC</t>
        </is>
      </c>
      <c r="C591" s="168" t="inlineStr">
        <is>
          <t>새들</t>
        </is>
      </c>
      <c r="D591" s="168" t="inlineStr">
        <is>
          <t>22mm</t>
        </is>
      </c>
      <c r="E591" s="167" t="inlineStr">
        <is>
          <t>EA</t>
        </is>
      </c>
      <c r="F591" s="170" t="n">
        <v>61</v>
      </c>
      <c r="G591" s="168" t="inlineStr">
        <is>
          <t>1(29)+3(7)+15(7)+22(9)+23(9)</t>
        </is>
      </c>
      <c r="H591" s="167" t="inlineStr"/>
    </row>
    <row r="592">
      <c r="A592" s="167" t="inlineStr"/>
      <c r="B592" s="167" t="inlineStr">
        <is>
          <t>ACC</t>
        </is>
      </c>
      <c r="C592" s="168" t="inlineStr">
        <is>
          <t>커넥터</t>
        </is>
      </c>
      <c r="D592" s="168" t="inlineStr">
        <is>
          <t>16mm</t>
        </is>
      </c>
      <c r="E592" s="167" t="inlineStr">
        <is>
          <t>EA</t>
        </is>
      </c>
      <c r="F592" s="170" t="n">
        <v>4</v>
      </c>
      <c r="G592" s="168" t="inlineStr">
        <is>
          <t>7(2)+19(2)</t>
        </is>
      </c>
      <c r="H592" s="167" t="inlineStr"/>
    </row>
    <row r="593">
      <c r="A593" s="167" t="inlineStr"/>
      <c r="B593" s="167" t="inlineStr">
        <is>
          <t>ACC</t>
        </is>
      </c>
      <c r="C593" s="168" t="inlineStr">
        <is>
          <t>커넥터</t>
        </is>
      </c>
      <c r="D593" s="168" t="inlineStr">
        <is>
          <t>22mm</t>
        </is>
      </c>
      <c r="E593" s="167" t="inlineStr">
        <is>
          <t>EA</t>
        </is>
      </c>
      <c r="F593" s="170" t="n">
        <v>10</v>
      </c>
      <c r="G593" s="168" t="inlineStr">
        <is>
          <t>1(2)+3(2)+15(2)+22(2)+23(2)</t>
        </is>
      </c>
      <c r="H593" s="167" t="inlineStr"/>
    </row>
    <row r="594">
      <c r="A594" s="167" t="inlineStr"/>
      <c r="B594" s="167" t="inlineStr">
        <is>
          <t>ACC</t>
        </is>
      </c>
      <c r="C594" s="168" t="inlineStr">
        <is>
          <t>커플링</t>
        </is>
      </c>
      <c r="D594" s="168" t="inlineStr">
        <is>
          <t>16mm</t>
        </is>
      </c>
      <c r="E594" s="167" t="inlineStr">
        <is>
          <t>EA</t>
        </is>
      </c>
      <c r="F594" s="170" t="n">
        <v>8</v>
      </c>
      <c r="G594" s="168" t="inlineStr">
        <is>
          <t>7(4)+19(4)</t>
        </is>
      </c>
      <c r="H594" s="167" t="inlineStr"/>
    </row>
    <row r="595">
      <c r="A595" s="167" t="inlineStr"/>
      <c r="B595" s="167" t="inlineStr">
        <is>
          <t>ACC</t>
        </is>
      </c>
      <c r="C595" s="168" t="inlineStr">
        <is>
          <t>커플링</t>
        </is>
      </c>
      <c r="D595" s="168" t="inlineStr">
        <is>
          <t>22mm</t>
        </is>
      </c>
      <c r="E595" s="167" t="inlineStr">
        <is>
          <t>EA</t>
        </is>
      </c>
      <c r="F595" s="170" t="n">
        <v>26</v>
      </c>
      <c r="G595" s="168" t="inlineStr">
        <is>
          <t>1(12)+3(3)+15(3)+22(4)+23(4)</t>
        </is>
      </c>
      <c r="H595" s="167" t="inlineStr"/>
    </row>
    <row r="596">
      <c r="A596" s="167" t="inlineStr"/>
      <c r="B596" s="167" t="inlineStr">
        <is>
          <t>SUP</t>
        </is>
      </c>
      <c r="C596" s="168" t="inlineStr">
        <is>
          <t>유크램프</t>
        </is>
      </c>
      <c r="D596" s="168" t="inlineStr">
        <is>
          <t>공용</t>
        </is>
      </c>
      <c r="E596" s="167" t="inlineStr">
        <is>
          <t>EA</t>
        </is>
      </c>
      <c r="F596" s="170" t="n">
        <v>78</v>
      </c>
      <c r="G596" s="168" t="inlineStr">
        <is>
          <t>공정전체(78)</t>
        </is>
      </c>
      <c r="H596" s="167" t="inlineStr"/>
    </row>
    <row r="597">
      <c r="A597" s="167" t="inlineStr"/>
      <c r="B597" s="167" t="inlineStr">
        <is>
          <t>SUP</t>
        </is>
      </c>
      <c r="C597" s="168" t="inlineStr">
        <is>
          <t>전산볼트 M10 × 1m</t>
        </is>
      </c>
      <c r="D597" s="168" t="inlineStr">
        <is>
          <t>M10</t>
        </is>
      </c>
      <c r="E597" s="167" t="inlineStr">
        <is>
          <t>EA</t>
        </is>
      </c>
      <c r="F597" s="170" t="n">
        <v>78</v>
      </c>
      <c r="G597" s="168" t="inlineStr">
        <is>
          <t>공정전체(78)</t>
        </is>
      </c>
      <c r="H597" s="167" t="inlineStr"/>
    </row>
    <row r="598">
      <c r="A598" s="167" t="inlineStr"/>
      <c r="B598" s="167" t="inlineStr">
        <is>
          <t>CMN</t>
        </is>
      </c>
      <c r="C598" s="168" t="inlineStr">
        <is>
          <t>PVC 테이프</t>
        </is>
      </c>
      <c r="D598" s="168" t="inlineStr">
        <is>
          <t>19mm</t>
        </is>
      </c>
      <c r="E598" s="167" t="inlineStr">
        <is>
          <t>롤</t>
        </is>
      </c>
      <c r="F598" s="170" t="n">
        <v>2</v>
      </c>
      <c r="G598" s="168" t="inlineStr">
        <is>
          <t>공정전체(2)</t>
        </is>
      </c>
      <c r="H598" s="167" t="inlineStr"/>
    </row>
    <row r="599">
      <c r="A599" s="167" t="inlineStr"/>
      <c r="B599" s="167" t="inlineStr">
        <is>
          <t>CMN</t>
        </is>
      </c>
      <c r="C599" s="168" t="inlineStr">
        <is>
          <t>아울렛 박스 (4각)</t>
        </is>
      </c>
      <c r="D599" s="168" t="inlineStr">
        <is>
          <t>4각</t>
        </is>
      </c>
      <c r="E599" s="167" t="inlineStr">
        <is>
          <t>EA</t>
        </is>
      </c>
      <c r="F599" s="170" t="n">
        <v>14</v>
      </c>
      <c r="G599" s="168" t="inlineStr">
        <is>
          <t>공정전체(14)</t>
        </is>
      </c>
      <c r="H599" s="167" t="inlineStr"/>
    </row>
    <row r="600">
      <c r="A600" s="167" t="inlineStr"/>
      <c r="B600" s="167" t="inlineStr">
        <is>
          <t>CMN</t>
        </is>
      </c>
      <c r="C600" s="168" t="inlineStr">
        <is>
          <t>와이어 커넥터</t>
        </is>
      </c>
      <c r="D600" s="168" t="inlineStr">
        <is>
          <t>중</t>
        </is>
      </c>
      <c r="E600" s="167" t="inlineStr">
        <is>
          <t>셋</t>
        </is>
      </c>
      <c r="F600" s="170" t="n">
        <v>42</v>
      </c>
      <c r="G600" s="168" t="inlineStr">
        <is>
          <t>공정전체(42)</t>
        </is>
      </c>
      <c r="H600" s="167" t="inlineStr"/>
    </row>
    <row r="601">
      <c r="A601" s="167" t="inlineStr"/>
      <c r="B601" s="167" t="inlineStr">
        <is>
          <t>CMN</t>
        </is>
      </c>
      <c r="C601" s="168" t="inlineStr">
        <is>
          <t>풀박스</t>
        </is>
      </c>
      <c r="D601" s="168" t="inlineStr">
        <is>
          <t>200×200</t>
        </is>
      </c>
      <c r="E601" s="167" t="inlineStr">
        <is>
          <t>EA</t>
        </is>
      </c>
      <c r="F601" s="170" t="n">
        <v>3</v>
      </c>
      <c r="G601" s="168" t="inlineStr">
        <is>
          <t>공정전체(3)</t>
        </is>
      </c>
      <c r="H601" s="167" t="inlineStr"/>
    </row>
    <row r="603" ht="14.25" customHeight="1" s="78">
      <c r="A603" s="156" t="inlineStr">
        <is>
          <t>7. 2F 주방동력공사</t>
        </is>
      </c>
      <c r="B603" s="174" t="n"/>
      <c r="C603" s="174" t="n"/>
      <c r="D603" s="174" t="n"/>
      <c r="E603" s="174" t="n"/>
      <c r="F603" s="174" t="n"/>
      <c r="G603" s="174" t="n"/>
      <c r="H603" s="175" t="n"/>
    </row>
    <row r="604" ht="14.25" customHeight="1" s="78">
      <c r="A604" s="158" t="inlineStr">
        <is>
          <t xml:space="preserve">  [4] K1 (FOUNTAIN DISP)</t>
        </is>
      </c>
      <c r="B604" s="174" t="n"/>
      <c r="C604" s="174" t="n"/>
      <c r="D604" s="174" t="n"/>
      <c r="E604" s="174" t="n"/>
      <c r="F604" s="174" t="n"/>
      <c r="G604" s="174" t="n"/>
      <c r="H604" s="175" t="n"/>
    </row>
    <row r="605">
      <c r="A605" s="148" t="n">
        <v>1</v>
      </c>
      <c r="B605" s="148" t="inlineStr">
        <is>
          <t>MAT</t>
        </is>
      </c>
      <c r="C605" s="149" t="inlineStr">
        <is>
          <t>강제전선관 (ST)</t>
        </is>
      </c>
      <c r="D605" s="149" t="inlineStr">
        <is>
          <t>28mm</t>
        </is>
      </c>
      <c r="E605" s="148" t="inlineStr">
        <is>
          <t>m</t>
        </is>
      </c>
      <c r="F605" s="160" t="n">
        <v>10.4</v>
      </c>
      <c r="G605" s="149" t="inlineStr">
        <is>
          <t>길이산출 10.4m</t>
        </is>
      </c>
      <c r="H605" s="148" t="inlineStr">
        <is>
          <t>◆</t>
        </is>
      </c>
    </row>
    <row r="606">
      <c r="A606" s="148" t="n">
        <v>2</v>
      </c>
      <c r="B606" s="148" t="inlineStr">
        <is>
          <t>MAT</t>
        </is>
      </c>
      <c r="C606" s="149" t="inlineStr">
        <is>
          <t>F-CV 0.6/1kV</t>
        </is>
      </c>
      <c r="D606" s="149" t="inlineStr">
        <is>
          <t>4㎟ 3C</t>
        </is>
      </c>
      <c r="E606" s="148" t="inlineStr">
        <is>
          <t>m</t>
        </is>
      </c>
      <c r="F606" s="160" t="n">
        <v>31.2</v>
      </c>
      <c r="G606" s="149" t="inlineStr">
        <is>
          <t>배관10.4m×가닥수</t>
        </is>
      </c>
      <c r="H606" s="148" t="inlineStr">
        <is>
          <t>◆</t>
        </is>
      </c>
    </row>
    <row r="607">
      <c r="A607" s="161" t="inlineStr"/>
      <c r="B607" s="161" t="inlineStr">
        <is>
          <t>ACC</t>
        </is>
      </c>
      <c r="C607" s="162" t="inlineStr">
        <is>
          <t xml:space="preserve">  ↳ 커플링</t>
        </is>
      </c>
      <c r="D607" s="162" t="inlineStr">
        <is>
          <t>28mm</t>
        </is>
      </c>
      <c r="E607" s="161" t="inlineStr">
        <is>
          <t>EA</t>
        </is>
      </c>
      <c r="F607" s="163" t="n">
        <v>3</v>
      </c>
      <c r="G607" s="162" t="inlineStr">
        <is>
          <t>10.4m÷3.6</t>
        </is>
      </c>
      <c r="H607" s="161" t="inlineStr">
        <is>
          <t>◆</t>
        </is>
      </c>
    </row>
    <row r="608">
      <c r="A608" s="161" t="inlineStr"/>
      <c r="B608" s="161" t="inlineStr">
        <is>
          <t>ACC</t>
        </is>
      </c>
      <c r="C608" s="162" t="inlineStr">
        <is>
          <t xml:space="preserve">  ↳ 커넥터</t>
        </is>
      </c>
      <c r="D608" s="162" t="inlineStr">
        <is>
          <t>28mm</t>
        </is>
      </c>
      <c r="E608" s="161" t="inlineStr">
        <is>
          <t>EA</t>
        </is>
      </c>
      <c r="F608" s="163" t="n">
        <v>2</v>
      </c>
      <c r="G608" s="162" t="inlineStr">
        <is>
          <t>양단 2개</t>
        </is>
      </c>
      <c r="H608" s="161" t="inlineStr">
        <is>
          <t>◆</t>
        </is>
      </c>
    </row>
    <row r="609">
      <c r="A609" s="161" t="inlineStr"/>
      <c r="B609" s="161" t="inlineStr">
        <is>
          <t>ACC</t>
        </is>
      </c>
      <c r="C609" s="162" t="inlineStr">
        <is>
          <t xml:space="preserve">  ↳ 부싱</t>
        </is>
      </c>
      <c r="D609" s="162" t="inlineStr">
        <is>
          <t>28mm</t>
        </is>
      </c>
      <c r="E609" s="161" t="inlineStr">
        <is>
          <t>EA</t>
        </is>
      </c>
      <c r="F609" s="163" t="n">
        <v>2</v>
      </c>
      <c r="G609" s="162">
        <f>커넥터수</f>
        <v/>
      </c>
      <c r="H609" s="161" t="inlineStr">
        <is>
          <t>◆</t>
        </is>
      </c>
    </row>
    <row r="610">
      <c r="A610" s="161" t="inlineStr"/>
      <c r="B610" s="161" t="inlineStr">
        <is>
          <t>ACC</t>
        </is>
      </c>
      <c r="C610" s="162" t="inlineStr">
        <is>
          <t xml:space="preserve">  ↳ 로크너트</t>
        </is>
      </c>
      <c r="D610" s="162" t="inlineStr">
        <is>
          <t>28mm</t>
        </is>
      </c>
      <c r="E610" s="161" t="inlineStr">
        <is>
          <t>EA</t>
        </is>
      </c>
      <c r="F610" s="163" t="n">
        <v>4</v>
      </c>
      <c r="G610" s="162">
        <f>커넥터×2</f>
        <v/>
      </c>
      <c r="H610" s="161" t="inlineStr">
        <is>
          <t>◆</t>
        </is>
      </c>
    </row>
    <row r="611">
      <c r="A611" s="161" t="inlineStr"/>
      <c r="B611" s="161" t="inlineStr">
        <is>
          <t>ACC</t>
        </is>
      </c>
      <c r="C611" s="162" t="inlineStr">
        <is>
          <t xml:space="preserve">  ↳ 새들</t>
        </is>
      </c>
      <c r="D611" s="162" t="inlineStr">
        <is>
          <t>28mm</t>
        </is>
      </c>
      <c r="E611" s="161" t="inlineStr">
        <is>
          <t>EA</t>
        </is>
      </c>
      <c r="F611" s="163" t="n">
        <v>7</v>
      </c>
      <c r="G611" s="162" t="inlineStr">
        <is>
          <t>10.4m÷1.5</t>
        </is>
      </c>
      <c r="H611" s="161" t="inlineStr">
        <is>
          <t>◆</t>
        </is>
      </c>
    </row>
    <row r="612" ht="14.25" customHeight="1" s="78">
      <c r="A612" s="158" t="inlineStr">
        <is>
          <t xml:space="preserve">  [5] K3 (FOUNTAIN DISP)</t>
        </is>
      </c>
      <c r="B612" s="174" t="n"/>
      <c r="C612" s="174" t="n"/>
      <c r="D612" s="174" t="n"/>
      <c r="E612" s="174" t="n"/>
      <c r="F612" s="174" t="n"/>
      <c r="G612" s="174" t="n"/>
      <c r="H612" s="175" t="n"/>
    </row>
    <row r="613">
      <c r="A613" s="148" t="n">
        <v>1</v>
      </c>
      <c r="B613" s="148" t="inlineStr">
        <is>
          <t>MAT</t>
        </is>
      </c>
      <c r="C613" s="149" t="inlineStr">
        <is>
          <t>강제전선관 (ST)</t>
        </is>
      </c>
      <c r="D613" s="149" t="inlineStr">
        <is>
          <t>28mm</t>
        </is>
      </c>
      <c r="E613" s="148" t="inlineStr">
        <is>
          <t>m</t>
        </is>
      </c>
      <c r="F613" s="160" t="n">
        <v>10.4</v>
      </c>
      <c r="G613" s="149" t="inlineStr">
        <is>
          <t>길이산출 10.4m</t>
        </is>
      </c>
      <c r="H613" s="148" t="inlineStr">
        <is>
          <t>◆</t>
        </is>
      </c>
    </row>
    <row r="614">
      <c r="A614" s="148" t="n">
        <v>2</v>
      </c>
      <c r="B614" s="148" t="inlineStr">
        <is>
          <t>MAT</t>
        </is>
      </c>
      <c r="C614" s="149" t="inlineStr">
        <is>
          <t>F-CV 0.6/1kV</t>
        </is>
      </c>
      <c r="D614" s="149" t="inlineStr">
        <is>
          <t>4㎟ 3C</t>
        </is>
      </c>
      <c r="E614" s="148" t="inlineStr">
        <is>
          <t>m</t>
        </is>
      </c>
      <c r="F614" s="160" t="n">
        <v>31.2</v>
      </c>
      <c r="G614" s="149" t="inlineStr">
        <is>
          <t>배관10.4m×가닥수</t>
        </is>
      </c>
      <c r="H614" s="148" t="inlineStr">
        <is>
          <t>◆</t>
        </is>
      </c>
    </row>
    <row r="615">
      <c r="A615" s="161" t="inlineStr"/>
      <c r="B615" s="161" t="inlineStr">
        <is>
          <t>ACC</t>
        </is>
      </c>
      <c r="C615" s="162" t="inlineStr">
        <is>
          <t xml:space="preserve">  ↳ 커플링</t>
        </is>
      </c>
      <c r="D615" s="162" t="inlineStr">
        <is>
          <t>28mm</t>
        </is>
      </c>
      <c r="E615" s="161" t="inlineStr">
        <is>
          <t>EA</t>
        </is>
      </c>
      <c r="F615" s="163" t="n">
        <v>3</v>
      </c>
      <c r="G615" s="162" t="inlineStr">
        <is>
          <t>10.4m÷3.6</t>
        </is>
      </c>
      <c r="H615" s="161" t="inlineStr">
        <is>
          <t>◆</t>
        </is>
      </c>
    </row>
    <row r="616">
      <c r="A616" s="161" t="inlineStr"/>
      <c r="B616" s="161" t="inlineStr">
        <is>
          <t>ACC</t>
        </is>
      </c>
      <c r="C616" s="162" t="inlineStr">
        <is>
          <t xml:space="preserve">  ↳ 커넥터</t>
        </is>
      </c>
      <c r="D616" s="162" t="inlineStr">
        <is>
          <t>28mm</t>
        </is>
      </c>
      <c r="E616" s="161" t="inlineStr">
        <is>
          <t>EA</t>
        </is>
      </c>
      <c r="F616" s="163" t="n">
        <v>2</v>
      </c>
      <c r="G616" s="162" t="inlineStr">
        <is>
          <t>양단 2개</t>
        </is>
      </c>
      <c r="H616" s="161" t="inlineStr">
        <is>
          <t>◆</t>
        </is>
      </c>
    </row>
    <row r="617">
      <c r="A617" s="161" t="inlineStr"/>
      <c r="B617" s="161" t="inlineStr">
        <is>
          <t>ACC</t>
        </is>
      </c>
      <c r="C617" s="162" t="inlineStr">
        <is>
          <t xml:space="preserve">  ↳ 부싱</t>
        </is>
      </c>
      <c r="D617" s="162" t="inlineStr">
        <is>
          <t>28mm</t>
        </is>
      </c>
      <c r="E617" s="161" t="inlineStr">
        <is>
          <t>EA</t>
        </is>
      </c>
      <c r="F617" s="163" t="n">
        <v>2</v>
      </c>
      <c r="G617" s="162">
        <f>커넥터수</f>
        <v/>
      </c>
      <c r="H617" s="161" t="inlineStr">
        <is>
          <t>◆</t>
        </is>
      </c>
    </row>
    <row r="618">
      <c r="A618" s="161" t="inlineStr"/>
      <c r="B618" s="161" t="inlineStr">
        <is>
          <t>ACC</t>
        </is>
      </c>
      <c r="C618" s="162" t="inlineStr">
        <is>
          <t xml:space="preserve">  ↳ 로크너트</t>
        </is>
      </c>
      <c r="D618" s="162" t="inlineStr">
        <is>
          <t>28mm</t>
        </is>
      </c>
      <c r="E618" s="161" t="inlineStr">
        <is>
          <t>EA</t>
        </is>
      </c>
      <c r="F618" s="163" t="n">
        <v>4</v>
      </c>
      <c r="G618" s="162">
        <f>커넥터×2</f>
        <v/>
      </c>
      <c r="H618" s="161" t="inlineStr">
        <is>
          <t>◆</t>
        </is>
      </c>
    </row>
    <row r="619">
      <c r="A619" s="161" t="inlineStr"/>
      <c r="B619" s="161" t="inlineStr">
        <is>
          <t>ACC</t>
        </is>
      </c>
      <c r="C619" s="162" t="inlineStr">
        <is>
          <t xml:space="preserve">  ↳ 새들</t>
        </is>
      </c>
      <c r="D619" s="162" t="inlineStr">
        <is>
          <t>28mm</t>
        </is>
      </c>
      <c r="E619" s="161" t="inlineStr">
        <is>
          <t>EA</t>
        </is>
      </c>
      <c r="F619" s="163" t="n">
        <v>7</v>
      </c>
      <c r="G619" s="162" t="inlineStr">
        <is>
          <t>10.4m÷1.5</t>
        </is>
      </c>
      <c r="H619" s="161" t="inlineStr">
        <is>
          <t>◆</t>
        </is>
      </c>
    </row>
    <row r="620" ht="14.25" customHeight="1" s="78">
      <c r="A620" s="158" t="inlineStr">
        <is>
          <t xml:space="preserve">  [16] K2 (ICE CUBE)</t>
        </is>
      </c>
      <c r="B620" s="174" t="n"/>
      <c r="C620" s="174" t="n"/>
      <c r="D620" s="174" t="n"/>
      <c r="E620" s="174" t="n"/>
      <c r="F620" s="174" t="n"/>
      <c r="G620" s="174" t="n"/>
      <c r="H620" s="175" t="n"/>
    </row>
    <row r="621">
      <c r="A621" s="148" t="n">
        <v>1</v>
      </c>
      <c r="B621" s="148" t="inlineStr">
        <is>
          <t>MAT</t>
        </is>
      </c>
      <c r="C621" s="149" t="inlineStr">
        <is>
          <t>강제전선관 (ST)</t>
        </is>
      </c>
      <c r="D621" s="149" t="inlineStr">
        <is>
          <t>28mm</t>
        </is>
      </c>
      <c r="E621" s="148" t="inlineStr">
        <is>
          <t>m</t>
        </is>
      </c>
      <c r="F621" s="160" t="n">
        <v>10.4</v>
      </c>
      <c r="G621" s="149" t="inlineStr">
        <is>
          <t>길이산출 10.4m</t>
        </is>
      </c>
      <c r="H621" s="148" t="inlineStr">
        <is>
          <t>◆</t>
        </is>
      </c>
    </row>
    <row r="622">
      <c r="A622" s="148" t="n">
        <v>2</v>
      </c>
      <c r="B622" s="148" t="inlineStr">
        <is>
          <t>MAT</t>
        </is>
      </c>
      <c r="C622" s="149" t="inlineStr">
        <is>
          <t>F-CV 0.6/1kV</t>
        </is>
      </c>
      <c r="D622" s="149" t="inlineStr">
        <is>
          <t>4㎟ 3C</t>
        </is>
      </c>
      <c r="E622" s="148" t="inlineStr">
        <is>
          <t>m</t>
        </is>
      </c>
      <c r="F622" s="160" t="n">
        <v>31.2</v>
      </c>
      <c r="G622" s="149" t="inlineStr">
        <is>
          <t>배관10.4m×가닥수</t>
        </is>
      </c>
      <c r="H622" s="148" t="inlineStr">
        <is>
          <t>◆</t>
        </is>
      </c>
    </row>
    <row r="623">
      <c r="A623" s="161" t="inlineStr"/>
      <c r="B623" s="161" t="inlineStr">
        <is>
          <t>ACC</t>
        </is>
      </c>
      <c r="C623" s="162" t="inlineStr">
        <is>
          <t xml:space="preserve">  ↳ 커플링</t>
        </is>
      </c>
      <c r="D623" s="162" t="inlineStr">
        <is>
          <t>28mm</t>
        </is>
      </c>
      <c r="E623" s="161" t="inlineStr">
        <is>
          <t>EA</t>
        </is>
      </c>
      <c r="F623" s="163" t="n">
        <v>3</v>
      </c>
      <c r="G623" s="162" t="inlineStr">
        <is>
          <t>10.4m÷3.6</t>
        </is>
      </c>
      <c r="H623" s="161" t="inlineStr">
        <is>
          <t>◆</t>
        </is>
      </c>
    </row>
    <row r="624">
      <c r="A624" s="161" t="inlineStr"/>
      <c r="B624" s="161" t="inlineStr">
        <is>
          <t>ACC</t>
        </is>
      </c>
      <c r="C624" s="162" t="inlineStr">
        <is>
          <t xml:space="preserve">  ↳ 커넥터</t>
        </is>
      </c>
      <c r="D624" s="162" t="inlineStr">
        <is>
          <t>28mm</t>
        </is>
      </c>
      <c r="E624" s="161" t="inlineStr">
        <is>
          <t>EA</t>
        </is>
      </c>
      <c r="F624" s="163" t="n">
        <v>2</v>
      </c>
      <c r="G624" s="162" t="inlineStr">
        <is>
          <t>양단 2개</t>
        </is>
      </c>
      <c r="H624" s="161" t="inlineStr">
        <is>
          <t>◆</t>
        </is>
      </c>
    </row>
    <row r="625">
      <c r="A625" s="161" t="inlineStr"/>
      <c r="B625" s="161" t="inlineStr">
        <is>
          <t>ACC</t>
        </is>
      </c>
      <c r="C625" s="162" t="inlineStr">
        <is>
          <t xml:space="preserve">  ↳ 부싱</t>
        </is>
      </c>
      <c r="D625" s="162" t="inlineStr">
        <is>
          <t>28mm</t>
        </is>
      </c>
      <c r="E625" s="161" t="inlineStr">
        <is>
          <t>EA</t>
        </is>
      </c>
      <c r="F625" s="163" t="n">
        <v>2</v>
      </c>
      <c r="G625" s="162">
        <f>커넥터수</f>
        <v/>
      </c>
      <c r="H625" s="161" t="inlineStr">
        <is>
          <t>◆</t>
        </is>
      </c>
    </row>
    <row r="626">
      <c r="A626" s="161" t="inlineStr"/>
      <c r="B626" s="161" t="inlineStr">
        <is>
          <t>ACC</t>
        </is>
      </c>
      <c r="C626" s="162" t="inlineStr">
        <is>
          <t xml:space="preserve">  ↳ 로크너트</t>
        </is>
      </c>
      <c r="D626" s="162" t="inlineStr">
        <is>
          <t>28mm</t>
        </is>
      </c>
      <c r="E626" s="161" t="inlineStr">
        <is>
          <t>EA</t>
        </is>
      </c>
      <c r="F626" s="163" t="n">
        <v>4</v>
      </c>
      <c r="G626" s="162">
        <f>커넥터×2</f>
        <v/>
      </c>
      <c r="H626" s="161" t="inlineStr">
        <is>
          <t>◆</t>
        </is>
      </c>
    </row>
    <row r="627">
      <c r="A627" s="161" t="inlineStr"/>
      <c r="B627" s="161" t="inlineStr">
        <is>
          <t>ACC</t>
        </is>
      </c>
      <c r="C627" s="162" t="inlineStr">
        <is>
          <t xml:space="preserve">  ↳ 새들</t>
        </is>
      </c>
      <c r="D627" s="162" t="inlineStr">
        <is>
          <t>28mm</t>
        </is>
      </c>
      <c r="E627" s="161" t="inlineStr">
        <is>
          <t>EA</t>
        </is>
      </c>
      <c r="F627" s="163" t="n">
        <v>7</v>
      </c>
      <c r="G627" s="162" t="inlineStr">
        <is>
          <t>10.4m÷1.5</t>
        </is>
      </c>
      <c r="H627" s="161" t="inlineStr">
        <is>
          <t>◆</t>
        </is>
      </c>
    </row>
    <row r="628" ht="14.25" customHeight="1" s="78">
      <c r="A628" s="158" t="inlineStr">
        <is>
          <t xml:space="preserve">  [17] K4 (ICE CUBE)</t>
        </is>
      </c>
      <c r="B628" s="174" t="n"/>
      <c r="C628" s="174" t="n"/>
      <c r="D628" s="174" t="n"/>
      <c r="E628" s="174" t="n"/>
      <c r="F628" s="174" t="n"/>
      <c r="G628" s="174" t="n"/>
      <c r="H628" s="175" t="n"/>
    </row>
    <row r="629">
      <c r="A629" s="148" t="n">
        <v>1</v>
      </c>
      <c r="B629" s="148" t="inlineStr">
        <is>
          <t>MAT</t>
        </is>
      </c>
      <c r="C629" s="149" t="inlineStr">
        <is>
          <t>강제전선관 (ST)</t>
        </is>
      </c>
      <c r="D629" s="149" t="inlineStr">
        <is>
          <t>28mm</t>
        </is>
      </c>
      <c r="E629" s="148" t="inlineStr">
        <is>
          <t>m</t>
        </is>
      </c>
      <c r="F629" s="160" t="n">
        <v>10.4</v>
      </c>
      <c r="G629" s="149" t="inlineStr">
        <is>
          <t>길이산출 10.4m</t>
        </is>
      </c>
      <c r="H629" s="148" t="inlineStr">
        <is>
          <t>◆</t>
        </is>
      </c>
    </row>
    <row r="630">
      <c r="A630" s="148" t="n">
        <v>2</v>
      </c>
      <c r="B630" s="148" t="inlineStr">
        <is>
          <t>MAT</t>
        </is>
      </c>
      <c r="C630" s="149" t="inlineStr">
        <is>
          <t>F-CV 0.6/1kV</t>
        </is>
      </c>
      <c r="D630" s="149" t="inlineStr">
        <is>
          <t>4㎟ 3C</t>
        </is>
      </c>
      <c r="E630" s="148" t="inlineStr">
        <is>
          <t>m</t>
        </is>
      </c>
      <c r="F630" s="160" t="n">
        <v>31.2</v>
      </c>
      <c r="G630" s="149" t="inlineStr">
        <is>
          <t>배관10.4m×가닥수</t>
        </is>
      </c>
      <c r="H630" s="148" t="inlineStr">
        <is>
          <t>◆</t>
        </is>
      </c>
    </row>
    <row r="631">
      <c r="A631" s="161" t="inlineStr"/>
      <c r="B631" s="161" t="inlineStr">
        <is>
          <t>ACC</t>
        </is>
      </c>
      <c r="C631" s="162" t="inlineStr">
        <is>
          <t xml:space="preserve">  ↳ 커플링</t>
        </is>
      </c>
      <c r="D631" s="162" t="inlineStr">
        <is>
          <t>28mm</t>
        </is>
      </c>
      <c r="E631" s="161" t="inlineStr">
        <is>
          <t>EA</t>
        </is>
      </c>
      <c r="F631" s="163" t="n">
        <v>3</v>
      </c>
      <c r="G631" s="162" t="inlineStr">
        <is>
          <t>10.4m÷3.6</t>
        </is>
      </c>
      <c r="H631" s="161" t="inlineStr">
        <is>
          <t>◆</t>
        </is>
      </c>
    </row>
    <row r="632">
      <c r="A632" s="161" t="inlineStr"/>
      <c r="B632" s="161" t="inlineStr">
        <is>
          <t>ACC</t>
        </is>
      </c>
      <c r="C632" s="162" t="inlineStr">
        <is>
          <t xml:space="preserve">  ↳ 커넥터</t>
        </is>
      </c>
      <c r="D632" s="162" t="inlineStr">
        <is>
          <t>28mm</t>
        </is>
      </c>
      <c r="E632" s="161" t="inlineStr">
        <is>
          <t>EA</t>
        </is>
      </c>
      <c r="F632" s="163" t="n">
        <v>2</v>
      </c>
      <c r="G632" s="162" t="inlineStr">
        <is>
          <t>양단 2개</t>
        </is>
      </c>
      <c r="H632" s="161" t="inlineStr">
        <is>
          <t>◆</t>
        </is>
      </c>
    </row>
    <row r="633">
      <c r="A633" s="161" t="inlineStr"/>
      <c r="B633" s="161" t="inlineStr">
        <is>
          <t>ACC</t>
        </is>
      </c>
      <c r="C633" s="162" t="inlineStr">
        <is>
          <t xml:space="preserve">  ↳ 부싱</t>
        </is>
      </c>
      <c r="D633" s="162" t="inlineStr">
        <is>
          <t>28mm</t>
        </is>
      </c>
      <c r="E633" s="161" t="inlineStr">
        <is>
          <t>EA</t>
        </is>
      </c>
      <c r="F633" s="163" t="n">
        <v>2</v>
      </c>
      <c r="G633" s="162">
        <f>커넥터수</f>
        <v/>
      </c>
      <c r="H633" s="161" t="inlineStr">
        <is>
          <t>◆</t>
        </is>
      </c>
    </row>
    <row r="634">
      <c r="A634" s="161" t="inlineStr"/>
      <c r="B634" s="161" t="inlineStr">
        <is>
          <t>ACC</t>
        </is>
      </c>
      <c r="C634" s="162" t="inlineStr">
        <is>
          <t xml:space="preserve">  ↳ 로크너트</t>
        </is>
      </c>
      <c r="D634" s="162" t="inlineStr">
        <is>
          <t>28mm</t>
        </is>
      </c>
      <c r="E634" s="161" t="inlineStr">
        <is>
          <t>EA</t>
        </is>
      </c>
      <c r="F634" s="163" t="n">
        <v>4</v>
      </c>
      <c r="G634" s="162">
        <f>커넥터×2</f>
        <v/>
      </c>
      <c r="H634" s="161" t="inlineStr">
        <is>
          <t>◆</t>
        </is>
      </c>
    </row>
    <row r="635">
      <c r="A635" s="161" t="inlineStr"/>
      <c r="B635" s="161" t="inlineStr">
        <is>
          <t>ACC</t>
        </is>
      </c>
      <c r="C635" s="162" t="inlineStr">
        <is>
          <t xml:space="preserve">  ↳ 새들</t>
        </is>
      </c>
      <c r="D635" s="162" t="inlineStr">
        <is>
          <t>28mm</t>
        </is>
      </c>
      <c r="E635" s="161" t="inlineStr">
        <is>
          <t>EA</t>
        </is>
      </c>
      <c r="F635" s="163" t="n">
        <v>7</v>
      </c>
      <c r="G635" s="162" t="inlineStr">
        <is>
          <t>10.4m÷1.5</t>
        </is>
      </c>
      <c r="H635" s="161" t="inlineStr">
        <is>
          <t>◆</t>
        </is>
      </c>
    </row>
    <row r="636">
      <c r="A636" s="161" t="inlineStr"/>
      <c r="B636" s="161" t="inlineStr">
        <is>
          <t>SUP</t>
        </is>
      </c>
      <c r="C636" s="162" t="inlineStr">
        <is>
          <t>전산볼트 M10 × 1m</t>
        </is>
      </c>
      <c r="D636" s="162" t="inlineStr">
        <is>
          <t>M10</t>
        </is>
      </c>
      <c r="E636" s="161" t="inlineStr">
        <is>
          <t>EA</t>
        </is>
      </c>
      <c r="F636" s="163" t="n">
        <v>28</v>
      </c>
      <c r="G636" s="162" t="inlineStr">
        <is>
          <t>총배관41.6m÷1.5</t>
        </is>
      </c>
      <c r="H636" s="161" t="inlineStr">
        <is>
          <t>◆</t>
        </is>
      </c>
    </row>
    <row r="637">
      <c r="A637" s="161" t="inlineStr"/>
      <c r="B637" s="161" t="inlineStr">
        <is>
          <t>SUP</t>
        </is>
      </c>
      <c r="C637" s="162" t="inlineStr">
        <is>
          <t>유크램프</t>
        </is>
      </c>
      <c r="D637" s="162" t="inlineStr">
        <is>
          <t>공용</t>
        </is>
      </c>
      <c r="E637" s="161" t="inlineStr">
        <is>
          <t>EA</t>
        </is>
      </c>
      <c r="F637" s="163" t="n">
        <v>28</v>
      </c>
      <c r="G637" s="162" t="inlineStr">
        <is>
          <t>총배관41.6m÷1.5</t>
        </is>
      </c>
      <c r="H637" s="161" t="inlineStr">
        <is>
          <t>◆</t>
        </is>
      </c>
    </row>
    <row r="638">
      <c r="A638" s="161" t="inlineStr"/>
      <c r="B638" s="161" t="inlineStr">
        <is>
          <t>CMN</t>
        </is>
      </c>
      <c r="C638" s="162" t="inlineStr">
        <is>
          <t>아울렛 박스 (4각)</t>
        </is>
      </c>
      <c r="D638" s="162" t="inlineStr">
        <is>
          <t>4각</t>
        </is>
      </c>
      <c r="E638" s="161" t="inlineStr">
        <is>
          <t>EA</t>
        </is>
      </c>
      <c r="F638" s="163" t="n">
        <v>8</v>
      </c>
      <c r="G638" s="162" t="inlineStr">
        <is>
          <t>접속점8개</t>
        </is>
      </c>
      <c r="H638" s="161" t="inlineStr">
        <is>
          <t>▲</t>
        </is>
      </c>
    </row>
    <row r="639">
      <c r="A639" s="161" t="inlineStr"/>
      <c r="B639" s="161" t="inlineStr">
        <is>
          <t>CMN</t>
        </is>
      </c>
      <c r="C639" s="162" t="inlineStr">
        <is>
          <t>풀박스</t>
        </is>
      </c>
      <c r="D639" s="162" t="inlineStr">
        <is>
          <t>200×200</t>
        </is>
      </c>
      <c r="E639" s="161" t="inlineStr">
        <is>
          <t>EA</t>
        </is>
      </c>
      <c r="F639" s="163" t="n">
        <v>1</v>
      </c>
      <c r="G639" s="162" t="inlineStr">
        <is>
          <t>41.6m÷30</t>
        </is>
      </c>
      <c r="H639" s="161" t="inlineStr">
        <is>
          <t>▲</t>
        </is>
      </c>
    </row>
    <row r="640">
      <c r="A640" s="161" t="inlineStr"/>
      <c r="B640" s="161" t="inlineStr">
        <is>
          <t>CMN</t>
        </is>
      </c>
      <c r="C640" s="162" t="inlineStr">
        <is>
          <t>와이어 커넥터</t>
        </is>
      </c>
      <c r="D640" s="162" t="inlineStr">
        <is>
          <t>중</t>
        </is>
      </c>
      <c r="E640" s="161" t="inlineStr">
        <is>
          <t>셋</t>
        </is>
      </c>
      <c r="F640" s="163" t="n">
        <v>24</v>
      </c>
      <c r="G640" s="162" t="inlineStr">
        <is>
          <t>접속점8×3</t>
        </is>
      </c>
      <c r="H640" s="161" t="inlineStr">
        <is>
          <t>▲</t>
        </is>
      </c>
    </row>
    <row r="641">
      <c r="A641" s="161" t="inlineStr"/>
      <c r="B641" s="161" t="inlineStr">
        <is>
          <t>CMN</t>
        </is>
      </c>
      <c r="C641" s="162" t="inlineStr">
        <is>
          <t>PVC 테이프</t>
        </is>
      </c>
      <c r="D641" s="162" t="inlineStr">
        <is>
          <t>19mm</t>
        </is>
      </c>
      <c r="E641" s="161" t="inlineStr">
        <is>
          <t>롤</t>
        </is>
      </c>
      <c r="F641" s="163" t="n">
        <v>1</v>
      </c>
      <c r="G641" s="162" t="inlineStr">
        <is>
          <t>접속점8÷10</t>
        </is>
      </c>
      <c r="H641" s="161" t="inlineStr">
        <is>
          <t>▲</t>
        </is>
      </c>
    </row>
    <row r="642" ht="14.25" customHeight="1" s="78">
      <c r="A642" s="165" t="inlineStr">
        <is>
          <t>( 2F 주방동력공사 소계 )</t>
        </is>
      </c>
      <c r="B642" s="174" t="n"/>
      <c r="C642" s="174" t="n"/>
      <c r="D642" s="174" t="n"/>
      <c r="E642" s="174" t="n"/>
      <c r="F642" s="174" t="n"/>
      <c r="G642" s="174" t="n"/>
      <c r="H642" s="175" t="n"/>
    </row>
    <row r="643">
      <c r="A643" s="167" t="inlineStr"/>
      <c r="B643" s="167" t="inlineStr">
        <is>
          <t>MAT</t>
        </is>
      </c>
      <c r="C643" s="168" t="inlineStr">
        <is>
          <t>F-CV 0.6/1kV</t>
        </is>
      </c>
      <c r="D643" s="168" t="inlineStr">
        <is>
          <t>4㎟ 3C</t>
        </is>
      </c>
      <c r="E643" s="167" t="inlineStr">
        <is>
          <t>m</t>
        </is>
      </c>
      <c r="F643" s="169" t="n">
        <v>124.8</v>
      </c>
      <c r="G643" s="168" t="inlineStr">
        <is>
          <t>4(31.2)+5(31.2)+16(31.2)+17(31.2)</t>
        </is>
      </c>
      <c r="H643" s="167" t="inlineStr"/>
    </row>
    <row r="644">
      <c r="A644" s="167" t="inlineStr"/>
      <c r="B644" s="167" t="inlineStr">
        <is>
          <t>MAT</t>
        </is>
      </c>
      <c r="C644" s="168" t="inlineStr">
        <is>
          <t>강제전선관 (ST)</t>
        </is>
      </c>
      <c r="D644" s="168" t="inlineStr">
        <is>
          <t>28mm</t>
        </is>
      </c>
      <c r="E644" s="167" t="inlineStr">
        <is>
          <t>m</t>
        </is>
      </c>
      <c r="F644" s="169" t="n">
        <v>41.6</v>
      </c>
      <c r="G644" s="168" t="inlineStr">
        <is>
          <t>4(10.4)+5(10.4)+16(10.4)+17(10.4)</t>
        </is>
      </c>
      <c r="H644" s="167" t="inlineStr"/>
    </row>
    <row r="645">
      <c r="A645" s="167" t="inlineStr"/>
      <c r="B645" s="167" t="inlineStr">
        <is>
          <t>ACC</t>
        </is>
      </c>
      <c r="C645" s="168" t="inlineStr">
        <is>
          <t>로크너트</t>
        </is>
      </c>
      <c r="D645" s="168" t="inlineStr">
        <is>
          <t>28mm</t>
        </is>
      </c>
      <c r="E645" s="167" t="inlineStr">
        <is>
          <t>EA</t>
        </is>
      </c>
      <c r="F645" s="170" t="n">
        <v>16</v>
      </c>
      <c r="G645" s="168" t="inlineStr">
        <is>
          <t>4(4)+5(4)+16(4)+17(4)</t>
        </is>
      </c>
      <c r="H645" s="167" t="inlineStr"/>
    </row>
    <row r="646">
      <c r="A646" s="167" t="inlineStr"/>
      <c r="B646" s="167" t="inlineStr">
        <is>
          <t>ACC</t>
        </is>
      </c>
      <c r="C646" s="168" t="inlineStr">
        <is>
          <t>부싱</t>
        </is>
      </c>
      <c r="D646" s="168" t="inlineStr">
        <is>
          <t>28mm</t>
        </is>
      </c>
      <c r="E646" s="167" t="inlineStr">
        <is>
          <t>EA</t>
        </is>
      </c>
      <c r="F646" s="170" t="n">
        <v>8</v>
      </c>
      <c r="G646" s="168" t="inlineStr">
        <is>
          <t>4(2)+5(2)+16(2)+17(2)</t>
        </is>
      </c>
      <c r="H646" s="167" t="inlineStr"/>
    </row>
    <row r="647">
      <c r="A647" s="167" t="inlineStr"/>
      <c r="B647" s="167" t="inlineStr">
        <is>
          <t>ACC</t>
        </is>
      </c>
      <c r="C647" s="168" t="inlineStr">
        <is>
          <t>새들</t>
        </is>
      </c>
      <c r="D647" s="168" t="inlineStr">
        <is>
          <t>28mm</t>
        </is>
      </c>
      <c r="E647" s="167" t="inlineStr">
        <is>
          <t>EA</t>
        </is>
      </c>
      <c r="F647" s="170" t="n">
        <v>28</v>
      </c>
      <c r="G647" s="168" t="inlineStr">
        <is>
          <t>4(7)+5(7)+16(7)+17(7)</t>
        </is>
      </c>
      <c r="H647" s="167" t="inlineStr"/>
    </row>
    <row r="648">
      <c r="A648" s="167" t="inlineStr"/>
      <c r="B648" s="167" t="inlineStr">
        <is>
          <t>ACC</t>
        </is>
      </c>
      <c r="C648" s="168" t="inlineStr">
        <is>
          <t>커넥터</t>
        </is>
      </c>
      <c r="D648" s="168" t="inlineStr">
        <is>
          <t>28mm</t>
        </is>
      </c>
      <c r="E648" s="167" t="inlineStr">
        <is>
          <t>EA</t>
        </is>
      </c>
      <c r="F648" s="170" t="n">
        <v>8</v>
      </c>
      <c r="G648" s="168" t="inlineStr">
        <is>
          <t>4(2)+5(2)+16(2)+17(2)</t>
        </is>
      </c>
      <c r="H648" s="167" t="inlineStr"/>
    </row>
    <row r="649">
      <c r="A649" s="167" t="inlineStr"/>
      <c r="B649" s="167" t="inlineStr">
        <is>
          <t>ACC</t>
        </is>
      </c>
      <c r="C649" s="168" t="inlineStr">
        <is>
          <t>커플링</t>
        </is>
      </c>
      <c r="D649" s="168" t="inlineStr">
        <is>
          <t>28mm</t>
        </is>
      </c>
      <c r="E649" s="167" t="inlineStr">
        <is>
          <t>EA</t>
        </is>
      </c>
      <c r="F649" s="170" t="n">
        <v>12</v>
      </c>
      <c r="G649" s="168" t="inlineStr">
        <is>
          <t>4(3)+5(3)+16(3)+17(3)</t>
        </is>
      </c>
      <c r="H649" s="167" t="inlineStr"/>
    </row>
    <row r="650">
      <c r="A650" s="167" t="inlineStr"/>
      <c r="B650" s="167" t="inlineStr">
        <is>
          <t>SUP</t>
        </is>
      </c>
      <c r="C650" s="168" t="inlineStr">
        <is>
          <t>유크램프</t>
        </is>
      </c>
      <c r="D650" s="168" t="inlineStr">
        <is>
          <t>공용</t>
        </is>
      </c>
      <c r="E650" s="167" t="inlineStr">
        <is>
          <t>EA</t>
        </is>
      </c>
      <c r="F650" s="170" t="n">
        <v>28</v>
      </c>
      <c r="G650" s="168" t="inlineStr">
        <is>
          <t>공정전체(28)</t>
        </is>
      </c>
      <c r="H650" s="167" t="inlineStr"/>
    </row>
    <row r="651">
      <c r="A651" s="167" t="inlineStr"/>
      <c r="B651" s="167" t="inlineStr">
        <is>
          <t>SUP</t>
        </is>
      </c>
      <c r="C651" s="168" t="inlineStr">
        <is>
          <t>전산볼트 M10 × 1m</t>
        </is>
      </c>
      <c r="D651" s="168" t="inlineStr">
        <is>
          <t>M10</t>
        </is>
      </c>
      <c r="E651" s="167" t="inlineStr">
        <is>
          <t>EA</t>
        </is>
      </c>
      <c r="F651" s="170" t="n">
        <v>28</v>
      </c>
      <c r="G651" s="168" t="inlineStr">
        <is>
          <t>공정전체(28)</t>
        </is>
      </c>
      <c r="H651" s="167" t="inlineStr"/>
    </row>
    <row r="652">
      <c r="A652" s="167" t="inlineStr"/>
      <c r="B652" s="167" t="inlineStr">
        <is>
          <t>CMN</t>
        </is>
      </c>
      <c r="C652" s="168" t="inlineStr">
        <is>
          <t>PVC 테이프</t>
        </is>
      </c>
      <c r="D652" s="168" t="inlineStr">
        <is>
          <t>19mm</t>
        </is>
      </c>
      <c r="E652" s="167" t="inlineStr">
        <is>
          <t>롤</t>
        </is>
      </c>
      <c r="F652" s="170" t="n">
        <v>1</v>
      </c>
      <c r="G652" s="168" t="inlineStr">
        <is>
          <t>공정전체(1)</t>
        </is>
      </c>
      <c r="H652" s="167" t="inlineStr"/>
    </row>
    <row r="653">
      <c r="A653" s="167" t="inlineStr"/>
      <c r="B653" s="167" t="inlineStr">
        <is>
          <t>CMN</t>
        </is>
      </c>
      <c r="C653" s="168" t="inlineStr">
        <is>
          <t>아울렛 박스 (4각)</t>
        </is>
      </c>
      <c r="D653" s="168" t="inlineStr">
        <is>
          <t>4각</t>
        </is>
      </c>
      <c r="E653" s="167" t="inlineStr">
        <is>
          <t>EA</t>
        </is>
      </c>
      <c r="F653" s="170" t="n">
        <v>8</v>
      </c>
      <c r="G653" s="168" t="inlineStr">
        <is>
          <t>공정전체(8)</t>
        </is>
      </c>
      <c r="H653" s="167" t="inlineStr"/>
    </row>
    <row r="654">
      <c r="A654" s="167" t="inlineStr"/>
      <c r="B654" s="167" t="inlineStr">
        <is>
          <t>CMN</t>
        </is>
      </c>
      <c r="C654" s="168" t="inlineStr">
        <is>
          <t>와이어 커넥터</t>
        </is>
      </c>
      <c r="D654" s="168" t="inlineStr">
        <is>
          <t>중</t>
        </is>
      </c>
      <c r="E654" s="167" t="inlineStr">
        <is>
          <t>셋</t>
        </is>
      </c>
      <c r="F654" s="170" t="n">
        <v>24</v>
      </c>
      <c r="G654" s="168" t="inlineStr">
        <is>
          <t>공정전체(24)</t>
        </is>
      </c>
      <c r="H654" s="167" t="inlineStr"/>
    </row>
    <row r="655">
      <c r="A655" s="167" t="inlineStr"/>
      <c r="B655" s="167" t="inlineStr">
        <is>
          <t>CMN</t>
        </is>
      </c>
      <c r="C655" s="168" t="inlineStr">
        <is>
          <t>풀박스</t>
        </is>
      </c>
      <c r="D655" s="168" t="inlineStr">
        <is>
          <t>200×200</t>
        </is>
      </c>
      <c r="E655" s="167" t="inlineStr">
        <is>
          <t>EA</t>
        </is>
      </c>
      <c r="F655" s="170" t="n">
        <v>1</v>
      </c>
      <c r="G655" s="168" t="inlineStr">
        <is>
          <t>공정전체(1)</t>
        </is>
      </c>
      <c r="H655" s="167" t="inlineStr"/>
    </row>
    <row r="657" ht="14.25" customHeight="1" s="78">
      <c r="A657" s="156" t="inlineStr">
        <is>
          <t>8. 2F 전열공사</t>
        </is>
      </c>
      <c r="B657" s="174" t="n"/>
      <c r="C657" s="174" t="n"/>
      <c r="D657" s="174" t="n"/>
      <c r="E657" s="174" t="n"/>
      <c r="F657" s="174" t="n"/>
      <c r="G657" s="174" t="n"/>
      <c r="H657" s="175" t="n"/>
    </row>
    <row r="658" ht="14.25" customHeight="1" s="78">
      <c r="A658" s="158" t="inlineStr">
        <is>
          <t xml:space="preserve">  [6] R1 (청소용/포장등)</t>
        </is>
      </c>
      <c r="B658" s="174" t="n"/>
      <c r="C658" s="174" t="n"/>
      <c r="D658" s="174" t="n"/>
      <c r="E658" s="174" t="n"/>
      <c r="F658" s="174" t="n"/>
      <c r="G658" s="174" t="n"/>
      <c r="H658" s="175" t="n"/>
    </row>
    <row r="659">
      <c r="A659" s="148" t="n">
        <v>1</v>
      </c>
      <c r="B659" s="148" t="inlineStr">
        <is>
          <t>MAT</t>
        </is>
      </c>
      <c r="C659" s="149" t="inlineStr">
        <is>
          <t>강제전선관 (ST)</t>
        </is>
      </c>
      <c r="D659" s="149" t="inlineStr">
        <is>
          <t>22mm</t>
        </is>
      </c>
      <c r="E659" s="148" t="inlineStr">
        <is>
          <t>m</t>
        </is>
      </c>
      <c r="F659" s="160" t="n">
        <v>15.6</v>
      </c>
      <c r="G659" s="149" t="inlineStr">
        <is>
          <t>길이산출 15.6m</t>
        </is>
      </c>
      <c r="H659" s="148" t="inlineStr">
        <is>
          <t>◆</t>
        </is>
      </c>
    </row>
    <row r="660">
      <c r="A660" s="148" t="n">
        <v>2</v>
      </c>
      <c r="B660" s="148" t="inlineStr">
        <is>
          <t>MAT</t>
        </is>
      </c>
      <c r="C660" s="149" t="inlineStr">
        <is>
          <t>HFIX 내열비닐</t>
        </is>
      </c>
      <c r="D660" s="149" t="inlineStr">
        <is>
          <t>4㎟ 3C</t>
        </is>
      </c>
      <c r="E660" s="148" t="inlineStr">
        <is>
          <t>m</t>
        </is>
      </c>
      <c r="F660" s="160" t="n">
        <v>46.8</v>
      </c>
      <c r="G660" s="149" t="inlineStr">
        <is>
          <t>배관15.6m×가닥수</t>
        </is>
      </c>
      <c r="H660" s="148" t="inlineStr">
        <is>
          <t>◆</t>
        </is>
      </c>
    </row>
    <row r="661">
      <c r="A661" s="161" t="inlineStr"/>
      <c r="B661" s="161" t="inlineStr">
        <is>
          <t>ACC</t>
        </is>
      </c>
      <c r="C661" s="162" t="inlineStr">
        <is>
          <t xml:space="preserve">  ↳ 커플링</t>
        </is>
      </c>
      <c r="D661" s="162" t="inlineStr">
        <is>
          <t>22mm</t>
        </is>
      </c>
      <c r="E661" s="161" t="inlineStr">
        <is>
          <t>EA</t>
        </is>
      </c>
      <c r="F661" s="163" t="n">
        <v>5</v>
      </c>
      <c r="G661" s="162" t="inlineStr">
        <is>
          <t>15.6m÷3.6</t>
        </is>
      </c>
      <c r="H661" s="161" t="inlineStr">
        <is>
          <t>◆</t>
        </is>
      </c>
    </row>
    <row r="662">
      <c r="A662" s="161" t="inlineStr"/>
      <c r="B662" s="161" t="inlineStr">
        <is>
          <t>ACC</t>
        </is>
      </c>
      <c r="C662" s="162" t="inlineStr">
        <is>
          <t xml:space="preserve">  ↳ 커넥터</t>
        </is>
      </c>
      <c r="D662" s="162" t="inlineStr">
        <is>
          <t>22mm</t>
        </is>
      </c>
      <c r="E662" s="161" t="inlineStr">
        <is>
          <t>EA</t>
        </is>
      </c>
      <c r="F662" s="163" t="n">
        <v>2</v>
      </c>
      <c r="G662" s="162" t="inlineStr">
        <is>
          <t>양단 2개</t>
        </is>
      </c>
      <c r="H662" s="161" t="inlineStr">
        <is>
          <t>◆</t>
        </is>
      </c>
    </row>
    <row r="663">
      <c r="A663" s="161" t="inlineStr"/>
      <c r="B663" s="161" t="inlineStr">
        <is>
          <t>ACC</t>
        </is>
      </c>
      <c r="C663" s="162" t="inlineStr">
        <is>
          <t xml:space="preserve">  ↳ 부싱</t>
        </is>
      </c>
      <c r="D663" s="162" t="inlineStr">
        <is>
          <t>22mm</t>
        </is>
      </c>
      <c r="E663" s="161" t="inlineStr">
        <is>
          <t>EA</t>
        </is>
      </c>
      <c r="F663" s="163" t="n">
        <v>2</v>
      </c>
      <c r="G663" s="162">
        <f>커넥터수</f>
        <v/>
      </c>
      <c r="H663" s="161" t="inlineStr">
        <is>
          <t>◆</t>
        </is>
      </c>
    </row>
    <row r="664">
      <c r="A664" s="161" t="inlineStr"/>
      <c r="B664" s="161" t="inlineStr">
        <is>
          <t>ACC</t>
        </is>
      </c>
      <c r="C664" s="162" t="inlineStr">
        <is>
          <t xml:space="preserve">  ↳ 로크너트</t>
        </is>
      </c>
      <c r="D664" s="162" t="inlineStr">
        <is>
          <t>22mm</t>
        </is>
      </c>
      <c r="E664" s="161" t="inlineStr">
        <is>
          <t>EA</t>
        </is>
      </c>
      <c r="F664" s="163" t="n">
        <v>4</v>
      </c>
      <c r="G664" s="162">
        <f>커넥터×2</f>
        <v/>
      </c>
      <c r="H664" s="161" t="inlineStr">
        <is>
          <t>◆</t>
        </is>
      </c>
    </row>
    <row r="665">
      <c r="A665" s="161" t="inlineStr"/>
      <c r="B665" s="161" t="inlineStr">
        <is>
          <t>ACC</t>
        </is>
      </c>
      <c r="C665" s="162" t="inlineStr">
        <is>
          <t xml:space="preserve">  ↳ 새들</t>
        </is>
      </c>
      <c r="D665" s="162" t="inlineStr">
        <is>
          <t>22mm</t>
        </is>
      </c>
      <c r="E665" s="161" t="inlineStr">
        <is>
          <t>EA</t>
        </is>
      </c>
      <c r="F665" s="163" t="n">
        <v>11</v>
      </c>
      <c r="G665" s="162" t="inlineStr">
        <is>
          <t>15.6m÷1.5</t>
        </is>
      </c>
      <c r="H665" s="161" t="inlineStr">
        <is>
          <t>◆</t>
        </is>
      </c>
    </row>
    <row r="666" ht="14.25" customHeight="1" s="78">
      <c r="A666" s="158" t="inlineStr">
        <is>
          <t xml:space="preserve">  [18] R2 (콘센트)</t>
        </is>
      </c>
      <c r="B666" s="174" t="n"/>
      <c r="C666" s="174" t="n"/>
      <c r="D666" s="174" t="n"/>
      <c r="E666" s="174" t="n"/>
      <c r="F666" s="174" t="n"/>
      <c r="G666" s="174" t="n"/>
      <c r="H666" s="175" t="n"/>
    </row>
    <row r="667">
      <c r="A667" s="148" t="n">
        <v>1</v>
      </c>
      <c r="B667" s="148" t="inlineStr">
        <is>
          <t>MAT</t>
        </is>
      </c>
      <c r="C667" s="149" t="inlineStr">
        <is>
          <t>강제전선관 (ST)</t>
        </is>
      </c>
      <c r="D667" s="149" t="inlineStr">
        <is>
          <t>22mm</t>
        </is>
      </c>
      <c r="E667" s="148" t="inlineStr">
        <is>
          <t>m</t>
        </is>
      </c>
      <c r="F667" s="160" t="n">
        <v>15.6</v>
      </c>
      <c r="G667" s="149" t="inlineStr">
        <is>
          <t>길이산출 15.6m</t>
        </is>
      </c>
      <c r="H667" s="148" t="inlineStr">
        <is>
          <t>◆</t>
        </is>
      </c>
    </row>
    <row r="668">
      <c r="A668" s="148" t="n">
        <v>2</v>
      </c>
      <c r="B668" s="148" t="inlineStr">
        <is>
          <t>MAT</t>
        </is>
      </c>
      <c r="C668" s="149" t="inlineStr">
        <is>
          <t>HFIX 내열비닐</t>
        </is>
      </c>
      <c r="D668" s="149" t="inlineStr">
        <is>
          <t>4㎟ 3C</t>
        </is>
      </c>
      <c r="E668" s="148" t="inlineStr">
        <is>
          <t>m</t>
        </is>
      </c>
      <c r="F668" s="160" t="n">
        <v>46.8</v>
      </c>
      <c r="G668" s="149" t="inlineStr">
        <is>
          <t>배관15.6m×가닥수</t>
        </is>
      </c>
      <c r="H668" s="148" t="inlineStr">
        <is>
          <t>◆</t>
        </is>
      </c>
    </row>
    <row r="669">
      <c r="A669" s="161" t="inlineStr"/>
      <c r="B669" s="161" t="inlineStr">
        <is>
          <t>ACC</t>
        </is>
      </c>
      <c r="C669" s="162" t="inlineStr">
        <is>
          <t xml:space="preserve">  ↳ 커플링</t>
        </is>
      </c>
      <c r="D669" s="162" t="inlineStr">
        <is>
          <t>22mm</t>
        </is>
      </c>
      <c r="E669" s="161" t="inlineStr">
        <is>
          <t>EA</t>
        </is>
      </c>
      <c r="F669" s="163" t="n">
        <v>5</v>
      </c>
      <c r="G669" s="162" t="inlineStr">
        <is>
          <t>15.6m÷3.6</t>
        </is>
      </c>
      <c r="H669" s="161" t="inlineStr">
        <is>
          <t>◆</t>
        </is>
      </c>
    </row>
    <row r="670">
      <c r="A670" s="161" t="inlineStr"/>
      <c r="B670" s="161" t="inlineStr">
        <is>
          <t>ACC</t>
        </is>
      </c>
      <c r="C670" s="162" t="inlineStr">
        <is>
          <t xml:space="preserve">  ↳ 커넥터</t>
        </is>
      </c>
      <c r="D670" s="162" t="inlineStr">
        <is>
          <t>22mm</t>
        </is>
      </c>
      <c r="E670" s="161" t="inlineStr">
        <is>
          <t>EA</t>
        </is>
      </c>
      <c r="F670" s="163" t="n">
        <v>2</v>
      </c>
      <c r="G670" s="162" t="inlineStr">
        <is>
          <t>양단 2개</t>
        </is>
      </c>
      <c r="H670" s="161" t="inlineStr">
        <is>
          <t>◆</t>
        </is>
      </c>
    </row>
    <row r="671">
      <c r="A671" s="161" t="inlineStr"/>
      <c r="B671" s="161" t="inlineStr">
        <is>
          <t>ACC</t>
        </is>
      </c>
      <c r="C671" s="162" t="inlineStr">
        <is>
          <t xml:space="preserve">  ↳ 부싱</t>
        </is>
      </c>
      <c r="D671" s="162" t="inlineStr">
        <is>
          <t>22mm</t>
        </is>
      </c>
      <c r="E671" s="161" t="inlineStr">
        <is>
          <t>EA</t>
        </is>
      </c>
      <c r="F671" s="163" t="n">
        <v>2</v>
      </c>
      <c r="G671" s="162">
        <f>커넥터수</f>
        <v/>
      </c>
      <c r="H671" s="161" t="inlineStr">
        <is>
          <t>◆</t>
        </is>
      </c>
    </row>
    <row r="672">
      <c r="A672" s="161" t="inlineStr"/>
      <c r="B672" s="161" t="inlineStr">
        <is>
          <t>ACC</t>
        </is>
      </c>
      <c r="C672" s="162" t="inlineStr">
        <is>
          <t xml:space="preserve">  ↳ 로크너트</t>
        </is>
      </c>
      <c r="D672" s="162" t="inlineStr">
        <is>
          <t>22mm</t>
        </is>
      </c>
      <c r="E672" s="161" t="inlineStr">
        <is>
          <t>EA</t>
        </is>
      </c>
      <c r="F672" s="163" t="n">
        <v>4</v>
      </c>
      <c r="G672" s="162">
        <f>커넥터×2</f>
        <v/>
      </c>
      <c r="H672" s="161" t="inlineStr">
        <is>
          <t>◆</t>
        </is>
      </c>
    </row>
    <row r="673">
      <c r="A673" s="161" t="inlineStr"/>
      <c r="B673" s="161" t="inlineStr">
        <is>
          <t>ACC</t>
        </is>
      </c>
      <c r="C673" s="162" t="inlineStr">
        <is>
          <t xml:space="preserve">  ↳ 새들</t>
        </is>
      </c>
      <c r="D673" s="162" t="inlineStr">
        <is>
          <t>22mm</t>
        </is>
      </c>
      <c r="E673" s="161" t="inlineStr">
        <is>
          <t>EA</t>
        </is>
      </c>
      <c r="F673" s="163" t="n">
        <v>11</v>
      </c>
      <c r="G673" s="162" t="inlineStr">
        <is>
          <t>15.6m÷1.5</t>
        </is>
      </c>
      <c r="H673" s="161" t="inlineStr">
        <is>
          <t>◆</t>
        </is>
      </c>
    </row>
    <row r="674">
      <c r="A674" s="161" t="inlineStr"/>
      <c r="B674" s="161" t="inlineStr">
        <is>
          <t>SUP</t>
        </is>
      </c>
      <c r="C674" s="162" t="inlineStr">
        <is>
          <t>전산볼트 M10 × 1m</t>
        </is>
      </c>
      <c r="D674" s="162" t="inlineStr">
        <is>
          <t>M10</t>
        </is>
      </c>
      <c r="E674" s="161" t="inlineStr">
        <is>
          <t>EA</t>
        </is>
      </c>
      <c r="F674" s="163" t="n">
        <v>21</v>
      </c>
      <c r="G674" s="162" t="inlineStr">
        <is>
          <t>총배관31.2m÷1.5</t>
        </is>
      </c>
      <c r="H674" s="161" t="inlineStr">
        <is>
          <t>◆</t>
        </is>
      </c>
    </row>
    <row r="675">
      <c r="A675" s="161" t="inlineStr"/>
      <c r="B675" s="161" t="inlineStr">
        <is>
          <t>SUP</t>
        </is>
      </c>
      <c r="C675" s="162" t="inlineStr">
        <is>
          <t>유크램프</t>
        </is>
      </c>
      <c r="D675" s="162" t="inlineStr">
        <is>
          <t>공용</t>
        </is>
      </c>
      <c r="E675" s="161" t="inlineStr">
        <is>
          <t>EA</t>
        </is>
      </c>
      <c r="F675" s="163" t="n">
        <v>21</v>
      </c>
      <c r="G675" s="162" t="inlineStr">
        <is>
          <t>총배관31.2m÷1.5</t>
        </is>
      </c>
      <c r="H675" s="161" t="inlineStr">
        <is>
          <t>◆</t>
        </is>
      </c>
    </row>
    <row r="676">
      <c r="A676" s="161" t="inlineStr"/>
      <c r="B676" s="161" t="inlineStr">
        <is>
          <t>CMN</t>
        </is>
      </c>
      <c r="C676" s="162" t="inlineStr">
        <is>
          <t>아울렛 박스 (4각)</t>
        </is>
      </c>
      <c r="D676" s="162" t="inlineStr">
        <is>
          <t>4각</t>
        </is>
      </c>
      <c r="E676" s="161" t="inlineStr">
        <is>
          <t>EA</t>
        </is>
      </c>
      <c r="F676" s="163" t="n">
        <v>4</v>
      </c>
      <c r="G676" s="162" t="inlineStr">
        <is>
          <t>접속점4개</t>
        </is>
      </c>
      <c r="H676" s="161" t="inlineStr">
        <is>
          <t>▲</t>
        </is>
      </c>
    </row>
    <row r="677">
      <c r="A677" s="161" t="inlineStr"/>
      <c r="B677" s="161" t="inlineStr">
        <is>
          <t>CMN</t>
        </is>
      </c>
      <c r="C677" s="162" t="inlineStr">
        <is>
          <t>풀박스</t>
        </is>
      </c>
      <c r="D677" s="162" t="inlineStr">
        <is>
          <t>200×200</t>
        </is>
      </c>
      <c r="E677" s="161" t="inlineStr">
        <is>
          <t>EA</t>
        </is>
      </c>
      <c r="F677" s="163" t="n">
        <v>1</v>
      </c>
      <c r="G677" s="162" t="inlineStr">
        <is>
          <t>31.2m÷30</t>
        </is>
      </c>
      <c r="H677" s="161" t="inlineStr">
        <is>
          <t>▲</t>
        </is>
      </c>
    </row>
    <row r="678">
      <c r="A678" s="161" t="inlineStr"/>
      <c r="B678" s="161" t="inlineStr">
        <is>
          <t>CMN</t>
        </is>
      </c>
      <c r="C678" s="162" t="inlineStr">
        <is>
          <t>와이어 커넥터</t>
        </is>
      </c>
      <c r="D678" s="162" t="inlineStr">
        <is>
          <t>중</t>
        </is>
      </c>
      <c r="E678" s="161" t="inlineStr">
        <is>
          <t>셋</t>
        </is>
      </c>
      <c r="F678" s="163" t="n">
        <v>12</v>
      </c>
      <c r="G678" s="162" t="inlineStr">
        <is>
          <t>접속점4×3</t>
        </is>
      </c>
      <c r="H678" s="161" t="inlineStr">
        <is>
          <t>▲</t>
        </is>
      </c>
    </row>
    <row r="679">
      <c r="A679" s="161" t="inlineStr"/>
      <c r="B679" s="161" t="inlineStr">
        <is>
          <t>CMN</t>
        </is>
      </c>
      <c r="C679" s="162" t="inlineStr">
        <is>
          <t>PVC 테이프</t>
        </is>
      </c>
      <c r="D679" s="162" t="inlineStr">
        <is>
          <t>19mm</t>
        </is>
      </c>
      <c r="E679" s="161" t="inlineStr">
        <is>
          <t>롤</t>
        </is>
      </c>
      <c r="F679" s="163" t="n">
        <v>1</v>
      </c>
      <c r="G679" s="162" t="inlineStr">
        <is>
          <t>접속점4÷10</t>
        </is>
      </c>
      <c r="H679" s="161" t="inlineStr">
        <is>
          <t>▲</t>
        </is>
      </c>
    </row>
    <row r="680" ht="14.25" customHeight="1" s="78">
      <c r="A680" s="165" t="inlineStr">
        <is>
          <t>( 2F 전열공사 소계 )</t>
        </is>
      </c>
      <c r="B680" s="174" t="n"/>
      <c r="C680" s="174" t="n"/>
      <c r="D680" s="174" t="n"/>
      <c r="E680" s="174" t="n"/>
      <c r="F680" s="174" t="n"/>
      <c r="G680" s="174" t="n"/>
      <c r="H680" s="175" t="n"/>
    </row>
    <row r="681">
      <c r="A681" s="167" t="inlineStr"/>
      <c r="B681" s="167" t="inlineStr">
        <is>
          <t>MAT</t>
        </is>
      </c>
      <c r="C681" s="168" t="inlineStr">
        <is>
          <t>HFIX 내열비닐</t>
        </is>
      </c>
      <c r="D681" s="168" t="inlineStr">
        <is>
          <t>4㎟ 3C</t>
        </is>
      </c>
      <c r="E681" s="167" t="inlineStr">
        <is>
          <t>m</t>
        </is>
      </c>
      <c r="F681" s="169" t="n">
        <v>93.59999999999999</v>
      </c>
      <c r="G681" s="168" t="inlineStr">
        <is>
          <t>6(46.8)+18(46.8)</t>
        </is>
      </c>
      <c r="H681" s="167" t="inlineStr"/>
    </row>
    <row r="682">
      <c r="A682" s="167" t="inlineStr"/>
      <c r="B682" s="167" t="inlineStr">
        <is>
          <t>MAT</t>
        </is>
      </c>
      <c r="C682" s="168" t="inlineStr">
        <is>
          <t>강제전선관 (ST)</t>
        </is>
      </c>
      <c r="D682" s="168" t="inlineStr">
        <is>
          <t>22mm</t>
        </is>
      </c>
      <c r="E682" s="167" t="inlineStr">
        <is>
          <t>m</t>
        </is>
      </c>
      <c r="F682" s="169" t="n">
        <v>31.2</v>
      </c>
      <c r="G682" s="168" t="inlineStr">
        <is>
          <t>6(15.6)+18(15.6)</t>
        </is>
      </c>
      <c r="H682" s="167" t="inlineStr"/>
    </row>
    <row r="683">
      <c r="A683" s="167" t="inlineStr"/>
      <c r="B683" s="167" t="inlineStr">
        <is>
          <t>ACC</t>
        </is>
      </c>
      <c r="C683" s="168" t="inlineStr">
        <is>
          <t>로크너트</t>
        </is>
      </c>
      <c r="D683" s="168" t="inlineStr">
        <is>
          <t>22mm</t>
        </is>
      </c>
      <c r="E683" s="167" t="inlineStr">
        <is>
          <t>EA</t>
        </is>
      </c>
      <c r="F683" s="170" t="n">
        <v>8</v>
      </c>
      <c r="G683" s="168" t="inlineStr">
        <is>
          <t>6(4)+18(4)</t>
        </is>
      </c>
      <c r="H683" s="167" t="inlineStr"/>
    </row>
    <row r="684">
      <c r="A684" s="167" t="inlineStr"/>
      <c r="B684" s="167" t="inlineStr">
        <is>
          <t>ACC</t>
        </is>
      </c>
      <c r="C684" s="168" t="inlineStr">
        <is>
          <t>부싱</t>
        </is>
      </c>
      <c r="D684" s="168" t="inlineStr">
        <is>
          <t>22mm</t>
        </is>
      </c>
      <c r="E684" s="167" t="inlineStr">
        <is>
          <t>EA</t>
        </is>
      </c>
      <c r="F684" s="170" t="n">
        <v>4</v>
      </c>
      <c r="G684" s="168" t="inlineStr">
        <is>
          <t>6(2)+18(2)</t>
        </is>
      </c>
      <c r="H684" s="167" t="inlineStr"/>
    </row>
    <row r="685">
      <c r="A685" s="167" t="inlineStr"/>
      <c r="B685" s="167" t="inlineStr">
        <is>
          <t>ACC</t>
        </is>
      </c>
      <c r="C685" s="168" t="inlineStr">
        <is>
          <t>새들</t>
        </is>
      </c>
      <c r="D685" s="168" t="inlineStr">
        <is>
          <t>22mm</t>
        </is>
      </c>
      <c r="E685" s="167" t="inlineStr">
        <is>
          <t>EA</t>
        </is>
      </c>
      <c r="F685" s="170" t="n">
        <v>22</v>
      </c>
      <c r="G685" s="168" t="inlineStr">
        <is>
          <t>6(11)+18(11)</t>
        </is>
      </c>
      <c r="H685" s="167" t="inlineStr"/>
    </row>
    <row r="686">
      <c r="A686" s="167" t="inlineStr"/>
      <c r="B686" s="167" t="inlineStr">
        <is>
          <t>ACC</t>
        </is>
      </c>
      <c r="C686" s="168" t="inlineStr">
        <is>
          <t>커넥터</t>
        </is>
      </c>
      <c r="D686" s="168" t="inlineStr">
        <is>
          <t>22mm</t>
        </is>
      </c>
      <c r="E686" s="167" t="inlineStr">
        <is>
          <t>EA</t>
        </is>
      </c>
      <c r="F686" s="170" t="n">
        <v>4</v>
      </c>
      <c r="G686" s="168" t="inlineStr">
        <is>
          <t>6(2)+18(2)</t>
        </is>
      </c>
      <c r="H686" s="167" t="inlineStr"/>
    </row>
    <row r="687">
      <c r="A687" s="167" t="inlineStr"/>
      <c r="B687" s="167" t="inlineStr">
        <is>
          <t>ACC</t>
        </is>
      </c>
      <c r="C687" s="168" t="inlineStr">
        <is>
          <t>커플링</t>
        </is>
      </c>
      <c r="D687" s="168" t="inlineStr">
        <is>
          <t>22mm</t>
        </is>
      </c>
      <c r="E687" s="167" t="inlineStr">
        <is>
          <t>EA</t>
        </is>
      </c>
      <c r="F687" s="170" t="n">
        <v>10</v>
      </c>
      <c r="G687" s="168" t="inlineStr">
        <is>
          <t>6(5)+18(5)</t>
        </is>
      </c>
      <c r="H687" s="167" t="inlineStr"/>
    </row>
    <row r="688">
      <c r="A688" s="167" t="inlineStr"/>
      <c r="B688" s="167" t="inlineStr">
        <is>
          <t>SUP</t>
        </is>
      </c>
      <c r="C688" s="168" t="inlineStr">
        <is>
          <t>유크램프</t>
        </is>
      </c>
      <c r="D688" s="168" t="inlineStr">
        <is>
          <t>공용</t>
        </is>
      </c>
      <c r="E688" s="167" t="inlineStr">
        <is>
          <t>EA</t>
        </is>
      </c>
      <c r="F688" s="170" t="n">
        <v>21</v>
      </c>
      <c r="G688" s="168" t="inlineStr">
        <is>
          <t>공정전체(21)</t>
        </is>
      </c>
      <c r="H688" s="167" t="inlineStr"/>
    </row>
    <row r="689">
      <c r="A689" s="167" t="inlineStr"/>
      <c r="B689" s="167" t="inlineStr">
        <is>
          <t>SUP</t>
        </is>
      </c>
      <c r="C689" s="168" t="inlineStr">
        <is>
          <t>전산볼트 M10 × 1m</t>
        </is>
      </c>
      <c r="D689" s="168" t="inlineStr">
        <is>
          <t>M10</t>
        </is>
      </c>
      <c r="E689" s="167" t="inlineStr">
        <is>
          <t>EA</t>
        </is>
      </c>
      <c r="F689" s="170" t="n">
        <v>21</v>
      </c>
      <c r="G689" s="168" t="inlineStr">
        <is>
          <t>공정전체(21)</t>
        </is>
      </c>
      <c r="H689" s="167" t="inlineStr"/>
    </row>
    <row r="690">
      <c r="A690" s="167" t="inlineStr"/>
      <c r="B690" s="167" t="inlineStr">
        <is>
          <t>CMN</t>
        </is>
      </c>
      <c r="C690" s="168" t="inlineStr">
        <is>
          <t>PVC 테이프</t>
        </is>
      </c>
      <c r="D690" s="168" t="inlineStr">
        <is>
          <t>19mm</t>
        </is>
      </c>
      <c r="E690" s="167" t="inlineStr">
        <is>
          <t>롤</t>
        </is>
      </c>
      <c r="F690" s="170" t="n">
        <v>1</v>
      </c>
      <c r="G690" s="168" t="inlineStr">
        <is>
          <t>공정전체(1)</t>
        </is>
      </c>
      <c r="H690" s="167" t="inlineStr"/>
    </row>
    <row r="691">
      <c r="A691" s="167" t="inlineStr"/>
      <c r="B691" s="167" t="inlineStr">
        <is>
          <t>CMN</t>
        </is>
      </c>
      <c r="C691" s="168" t="inlineStr">
        <is>
          <t>아울렛 박스 (4각)</t>
        </is>
      </c>
      <c r="D691" s="168" t="inlineStr">
        <is>
          <t>4각</t>
        </is>
      </c>
      <c r="E691" s="167" t="inlineStr">
        <is>
          <t>EA</t>
        </is>
      </c>
      <c r="F691" s="170" t="n">
        <v>4</v>
      </c>
      <c r="G691" s="168" t="inlineStr">
        <is>
          <t>공정전체(4)</t>
        </is>
      </c>
      <c r="H691" s="167" t="inlineStr"/>
    </row>
    <row r="692">
      <c r="A692" s="167" t="inlineStr"/>
      <c r="B692" s="167" t="inlineStr">
        <is>
          <t>CMN</t>
        </is>
      </c>
      <c r="C692" s="168" t="inlineStr">
        <is>
          <t>와이어 커넥터</t>
        </is>
      </c>
      <c r="D692" s="168" t="inlineStr">
        <is>
          <t>중</t>
        </is>
      </c>
      <c r="E692" s="167" t="inlineStr">
        <is>
          <t>셋</t>
        </is>
      </c>
      <c r="F692" s="170" t="n">
        <v>12</v>
      </c>
      <c r="G692" s="168" t="inlineStr">
        <is>
          <t>공정전체(12)</t>
        </is>
      </c>
      <c r="H692" s="167" t="inlineStr"/>
    </row>
    <row r="693">
      <c r="A693" s="167" t="inlineStr"/>
      <c r="B693" s="167" t="inlineStr">
        <is>
          <t>CMN</t>
        </is>
      </c>
      <c r="C693" s="168" t="inlineStr">
        <is>
          <t>풀박스</t>
        </is>
      </c>
      <c r="D693" s="168" t="inlineStr">
        <is>
          <t>200×200</t>
        </is>
      </c>
      <c r="E693" s="167" t="inlineStr">
        <is>
          <t>EA</t>
        </is>
      </c>
      <c r="F693" s="170" t="n">
        <v>1</v>
      </c>
      <c r="G693" s="168" t="inlineStr">
        <is>
          <t>공정전체(1)</t>
        </is>
      </c>
      <c r="H693" s="167" t="inlineStr"/>
    </row>
    <row r="695" ht="14.25" customHeight="1" s="78">
      <c r="A695" s="156" t="inlineStr">
        <is>
          <t>9. 2F 조명공사</t>
        </is>
      </c>
      <c r="B695" s="174" t="n"/>
      <c r="C695" s="174" t="n"/>
      <c r="D695" s="174" t="n"/>
      <c r="E695" s="174" t="n"/>
      <c r="F695" s="174" t="n"/>
      <c r="G695" s="174" t="n"/>
      <c r="H695" s="175" t="n"/>
    </row>
    <row r="696" ht="14.25" customHeight="1" s="78">
      <c r="A696" s="158" t="inlineStr">
        <is>
          <t xml:space="preserve">  [8] L1 (LIGHTING)</t>
        </is>
      </c>
      <c r="B696" s="174" t="n"/>
      <c r="C696" s="174" t="n"/>
      <c r="D696" s="174" t="n"/>
      <c r="E696" s="174" t="n"/>
      <c r="F696" s="174" t="n"/>
      <c r="G696" s="174" t="n"/>
      <c r="H696" s="175" t="n"/>
    </row>
    <row r="697">
      <c r="A697" s="148" t="n">
        <v>1</v>
      </c>
      <c r="B697" s="148" t="inlineStr">
        <is>
          <t>MAT</t>
        </is>
      </c>
      <c r="C697" s="149" t="inlineStr">
        <is>
          <t>강제전선관 (ST)</t>
        </is>
      </c>
      <c r="D697" s="149" t="inlineStr">
        <is>
          <t>16mm</t>
        </is>
      </c>
      <c r="E697" s="148" t="inlineStr">
        <is>
          <t>m</t>
        </is>
      </c>
      <c r="F697" s="160" t="n">
        <v>32.5</v>
      </c>
      <c r="G697" s="149" t="inlineStr">
        <is>
          <t>길이산출 32.5m</t>
        </is>
      </c>
      <c r="H697" s="148" t="inlineStr">
        <is>
          <t>◆</t>
        </is>
      </c>
    </row>
    <row r="698">
      <c r="A698" s="148" t="n">
        <v>2</v>
      </c>
      <c r="B698" s="148" t="inlineStr">
        <is>
          <t>MAT</t>
        </is>
      </c>
      <c r="C698" s="149" t="inlineStr">
        <is>
          <t>HFIX 내열비닐</t>
        </is>
      </c>
      <c r="D698" s="149" t="inlineStr">
        <is>
          <t>2.5㎟ 3C</t>
        </is>
      </c>
      <c r="E698" s="148" t="inlineStr">
        <is>
          <t>m</t>
        </is>
      </c>
      <c r="F698" s="160" t="n">
        <v>97.5</v>
      </c>
      <c r="G698" s="149" t="inlineStr">
        <is>
          <t>배관32.5m×가닥수</t>
        </is>
      </c>
      <c r="H698" s="148" t="inlineStr">
        <is>
          <t>◆</t>
        </is>
      </c>
    </row>
    <row r="699">
      <c r="A699" s="161" t="inlineStr"/>
      <c r="B699" s="161" t="inlineStr">
        <is>
          <t>ACC</t>
        </is>
      </c>
      <c r="C699" s="162" t="inlineStr">
        <is>
          <t xml:space="preserve">  ↳ 커플링</t>
        </is>
      </c>
      <c r="D699" s="162" t="inlineStr">
        <is>
          <t>16mm</t>
        </is>
      </c>
      <c r="E699" s="161" t="inlineStr">
        <is>
          <t>EA</t>
        </is>
      </c>
      <c r="F699" s="163" t="n">
        <v>10</v>
      </c>
      <c r="G699" s="162" t="inlineStr">
        <is>
          <t>32.5m÷3.6</t>
        </is>
      </c>
      <c r="H699" s="161" t="inlineStr">
        <is>
          <t>◆</t>
        </is>
      </c>
    </row>
    <row r="700">
      <c r="A700" s="161" t="inlineStr"/>
      <c r="B700" s="161" t="inlineStr">
        <is>
          <t>ACC</t>
        </is>
      </c>
      <c r="C700" s="162" t="inlineStr">
        <is>
          <t xml:space="preserve">  ↳ 커넥터</t>
        </is>
      </c>
      <c r="D700" s="162" t="inlineStr">
        <is>
          <t>16mm</t>
        </is>
      </c>
      <c r="E700" s="161" t="inlineStr">
        <is>
          <t>EA</t>
        </is>
      </c>
      <c r="F700" s="163" t="n">
        <v>2</v>
      </c>
      <c r="G700" s="162" t="inlineStr">
        <is>
          <t>양단 2개</t>
        </is>
      </c>
      <c r="H700" s="161" t="inlineStr">
        <is>
          <t>◆</t>
        </is>
      </c>
    </row>
    <row r="701">
      <c r="A701" s="161" t="inlineStr"/>
      <c r="B701" s="161" t="inlineStr">
        <is>
          <t>ACC</t>
        </is>
      </c>
      <c r="C701" s="162" t="inlineStr">
        <is>
          <t xml:space="preserve">  ↳ 부싱</t>
        </is>
      </c>
      <c r="D701" s="162" t="inlineStr">
        <is>
          <t>16mm</t>
        </is>
      </c>
      <c r="E701" s="161" t="inlineStr">
        <is>
          <t>EA</t>
        </is>
      </c>
      <c r="F701" s="163" t="n">
        <v>2</v>
      </c>
      <c r="G701" s="162">
        <f>커넥터수</f>
        <v/>
      </c>
      <c r="H701" s="161" t="inlineStr">
        <is>
          <t>◆</t>
        </is>
      </c>
    </row>
    <row r="702">
      <c r="A702" s="161" t="inlineStr"/>
      <c r="B702" s="161" t="inlineStr">
        <is>
          <t>ACC</t>
        </is>
      </c>
      <c r="C702" s="162" t="inlineStr">
        <is>
          <t xml:space="preserve">  ↳ 로크너트</t>
        </is>
      </c>
      <c r="D702" s="162" t="inlineStr">
        <is>
          <t>16mm</t>
        </is>
      </c>
      <c r="E702" s="161" t="inlineStr">
        <is>
          <t>EA</t>
        </is>
      </c>
      <c r="F702" s="163" t="n">
        <v>4</v>
      </c>
      <c r="G702" s="162">
        <f>커넥터×2</f>
        <v/>
      </c>
      <c r="H702" s="161" t="inlineStr">
        <is>
          <t>◆</t>
        </is>
      </c>
    </row>
    <row r="703">
      <c r="A703" s="161" t="inlineStr"/>
      <c r="B703" s="161" t="inlineStr">
        <is>
          <t>ACC</t>
        </is>
      </c>
      <c r="C703" s="162" t="inlineStr">
        <is>
          <t xml:space="preserve">  ↳ 새들</t>
        </is>
      </c>
      <c r="D703" s="162" t="inlineStr">
        <is>
          <t>16mm</t>
        </is>
      </c>
      <c r="E703" s="161" t="inlineStr">
        <is>
          <t>EA</t>
        </is>
      </c>
      <c r="F703" s="163" t="n">
        <v>22</v>
      </c>
      <c r="G703" s="162" t="inlineStr">
        <is>
          <t>32.5m÷1.5</t>
        </is>
      </c>
      <c r="H703" s="161" t="inlineStr">
        <is>
          <t>◆</t>
        </is>
      </c>
    </row>
    <row r="704">
      <c r="A704" s="161" t="inlineStr"/>
      <c r="B704" s="161" t="inlineStr">
        <is>
          <t>ACC</t>
        </is>
      </c>
      <c r="C704" s="162" t="inlineStr">
        <is>
          <t xml:space="preserve">  ↳ 테프론선 2C (SMPS 2차측)</t>
        </is>
      </c>
      <c r="D704" s="162" t="inlineStr">
        <is>
          <t>1.5㎟ 2C</t>
        </is>
      </c>
      <c r="E704" s="161" t="inlineStr">
        <is>
          <t>m</t>
        </is>
      </c>
      <c r="F704" s="164" t="n">
        <v>16.2</v>
      </c>
      <c r="G704" s="162" t="inlineStr">
        <is>
          <t>SMPS→LED 2차측 ▲추정</t>
        </is>
      </c>
      <c r="H704" s="161" t="inlineStr">
        <is>
          <t>▲</t>
        </is>
      </c>
    </row>
    <row r="705">
      <c r="A705" s="161" t="inlineStr"/>
      <c r="B705" s="161" t="inlineStr">
        <is>
          <t>ACC</t>
        </is>
      </c>
      <c r="C705" s="162" t="inlineStr">
        <is>
          <t xml:space="preserve">  ↳ 석면튜브</t>
        </is>
      </c>
      <c r="D705" s="162" t="inlineStr">
        <is>
          <t>Φ6</t>
        </is>
      </c>
      <c r="E705" s="161" t="inlineStr">
        <is>
          <t>m</t>
        </is>
      </c>
      <c r="F705" s="164" t="n">
        <v>16.2</v>
      </c>
      <c r="G705" s="162">
        <f>테프론선 길이</f>
        <v/>
      </c>
      <c r="H705" s="161" t="inlineStr">
        <is>
          <t>▲</t>
        </is>
      </c>
    </row>
    <row r="706" ht="14.25" customHeight="1" s="78">
      <c r="A706" s="158" t="inlineStr">
        <is>
          <t xml:space="preserve">  [9] EX1 (유도등)</t>
        </is>
      </c>
      <c r="B706" s="174" t="n"/>
      <c r="C706" s="174" t="n"/>
      <c r="D706" s="174" t="n"/>
      <c r="E706" s="174" t="n"/>
      <c r="F706" s="174" t="n"/>
      <c r="G706" s="174" t="n"/>
      <c r="H706" s="175" t="n"/>
    </row>
    <row r="707">
      <c r="A707" s="148" t="n">
        <v>1</v>
      </c>
      <c r="B707" s="148" t="inlineStr">
        <is>
          <t>MAT</t>
        </is>
      </c>
      <c r="C707" s="149" t="inlineStr">
        <is>
          <t>강제전선관 (ST)</t>
        </is>
      </c>
      <c r="D707" s="149" t="inlineStr">
        <is>
          <t>16mm</t>
        </is>
      </c>
      <c r="E707" s="148" t="inlineStr">
        <is>
          <t>m</t>
        </is>
      </c>
      <c r="F707" s="160" t="n">
        <v>13</v>
      </c>
      <c r="G707" s="149" t="inlineStr">
        <is>
          <t>길이산출 13.0m</t>
        </is>
      </c>
      <c r="H707" s="148" t="inlineStr">
        <is>
          <t>◆</t>
        </is>
      </c>
    </row>
    <row r="708">
      <c r="A708" s="148" t="n">
        <v>2</v>
      </c>
      <c r="B708" s="148" t="inlineStr">
        <is>
          <t>MAT</t>
        </is>
      </c>
      <c r="C708" s="149" t="inlineStr">
        <is>
          <t>HFIX 내열비닐</t>
        </is>
      </c>
      <c r="D708" s="149" t="inlineStr">
        <is>
          <t>2.5㎟ 3C</t>
        </is>
      </c>
      <c r="E708" s="148" t="inlineStr">
        <is>
          <t>m</t>
        </is>
      </c>
      <c r="F708" s="160" t="n">
        <v>39</v>
      </c>
      <c r="G708" s="149" t="inlineStr">
        <is>
          <t>배관13.0m×가닥수</t>
        </is>
      </c>
      <c r="H708" s="148" t="inlineStr">
        <is>
          <t>◆</t>
        </is>
      </c>
    </row>
    <row r="709">
      <c r="A709" s="161" t="inlineStr"/>
      <c r="B709" s="161" t="inlineStr">
        <is>
          <t>ACC</t>
        </is>
      </c>
      <c r="C709" s="162" t="inlineStr">
        <is>
          <t xml:space="preserve">  ↳ 커플링</t>
        </is>
      </c>
      <c r="D709" s="162" t="inlineStr">
        <is>
          <t>16mm</t>
        </is>
      </c>
      <c r="E709" s="161" t="inlineStr">
        <is>
          <t>EA</t>
        </is>
      </c>
      <c r="F709" s="163" t="n">
        <v>4</v>
      </c>
      <c r="G709" s="162" t="inlineStr">
        <is>
          <t>13.0m÷3.6</t>
        </is>
      </c>
      <c r="H709" s="161" t="inlineStr">
        <is>
          <t>◆</t>
        </is>
      </c>
    </row>
    <row r="710">
      <c r="A710" s="161" t="inlineStr"/>
      <c r="B710" s="161" t="inlineStr">
        <is>
          <t>ACC</t>
        </is>
      </c>
      <c r="C710" s="162" t="inlineStr">
        <is>
          <t xml:space="preserve">  ↳ 커넥터</t>
        </is>
      </c>
      <c r="D710" s="162" t="inlineStr">
        <is>
          <t>16mm</t>
        </is>
      </c>
      <c r="E710" s="161" t="inlineStr">
        <is>
          <t>EA</t>
        </is>
      </c>
      <c r="F710" s="163" t="n">
        <v>2</v>
      </c>
      <c r="G710" s="162" t="inlineStr">
        <is>
          <t>양단 2개</t>
        </is>
      </c>
      <c r="H710" s="161" t="inlineStr">
        <is>
          <t>◆</t>
        </is>
      </c>
    </row>
    <row r="711">
      <c r="A711" s="161" t="inlineStr"/>
      <c r="B711" s="161" t="inlineStr">
        <is>
          <t>ACC</t>
        </is>
      </c>
      <c r="C711" s="162" t="inlineStr">
        <is>
          <t xml:space="preserve">  ↳ 부싱</t>
        </is>
      </c>
      <c r="D711" s="162" t="inlineStr">
        <is>
          <t>16mm</t>
        </is>
      </c>
      <c r="E711" s="161" t="inlineStr">
        <is>
          <t>EA</t>
        </is>
      </c>
      <c r="F711" s="163" t="n">
        <v>2</v>
      </c>
      <c r="G711" s="162">
        <f>커넥터수</f>
        <v/>
      </c>
      <c r="H711" s="161" t="inlineStr">
        <is>
          <t>◆</t>
        </is>
      </c>
    </row>
    <row r="712">
      <c r="A712" s="161" t="inlineStr"/>
      <c r="B712" s="161" t="inlineStr">
        <is>
          <t>ACC</t>
        </is>
      </c>
      <c r="C712" s="162" t="inlineStr">
        <is>
          <t xml:space="preserve">  ↳ 로크너트</t>
        </is>
      </c>
      <c r="D712" s="162" t="inlineStr">
        <is>
          <t>16mm</t>
        </is>
      </c>
      <c r="E712" s="161" t="inlineStr">
        <is>
          <t>EA</t>
        </is>
      </c>
      <c r="F712" s="163" t="n">
        <v>4</v>
      </c>
      <c r="G712" s="162">
        <f>커넥터×2</f>
        <v/>
      </c>
      <c r="H712" s="161" t="inlineStr">
        <is>
          <t>◆</t>
        </is>
      </c>
    </row>
    <row r="713">
      <c r="A713" s="161" t="inlineStr"/>
      <c r="B713" s="161" t="inlineStr">
        <is>
          <t>ACC</t>
        </is>
      </c>
      <c r="C713" s="162" t="inlineStr">
        <is>
          <t xml:space="preserve">  ↳ 새들</t>
        </is>
      </c>
      <c r="D713" s="162" t="inlineStr">
        <is>
          <t>16mm</t>
        </is>
      </c>
      <c r="E713" s="161" t="inlineStr">
        <is>
          <t>EA</t>
        </is>
      </c>
      <c r="F713" s="163" t="n">
        <v>9</v>
      </c>
      <c r="G713" s="162" t="inlineStr">
        <is>
          <t>13.0m÷1.5</t>
        </is>
      </c>
      <c r="H713" s="161" t="inlineStr">
        <is>
          <t>◆</t>
        </is>
      </c>
    </row>
    <row r="714" ht="14.25" customHeight="1" s="78">
      <c r="A714" s="158" t="inlineStr">
        <is>
          <t xml:space="preserve">  [10] AD1 (자동문)</t>
        </is>
      </c>
      <c r="B714" s="174" t="n"/>
      <c r="C714" s="174" t="n"/>
      <c r="D714" s="174" t="n"/>
      <c r="E714" s="174" t="n"/>
      <c r="F714" s="174" t="n"/>
      <c r="G714" s="174" t="n"/>
      <c r="H714" s="175" t="n"/>
    </row>
    <row r="715">
      <c r="A715" s="148" t="n">
        <v>1</v>
      </c>
      <c r="B715" s="148" t="inlineStr">
        <is>
          <t>MAT</t>
        </is>
      </c>
      <c r="C715" s="149" t="inlineStr">
        <is>
          <t>강제전선관 (ST)</t>
        </is>
      </c>
      <c r="D715" s="149" t="inlineStr">
        <is>
          <t>16mm</t>
        </is>
      </c>
      <c r="E715" s="148" t="inlineStr">
        <is>
          <t>m</t>
        </is>
      </c>
      <c r="F715" s="160" t="n">
        <v>10.4</v>
      </c>
      <c r="G715" s="149" t="inlineStr">
        <is>
          <t>길이산출 10.4m</t>
        </is>
      </c>
      <c r="H715" s="148" t="inlineStr">
        <is>
          <t>◆</t>
        </is>
      </c>
    </row>
    <row r="716">
      <c r="A716" s="148" t="n">
        <v>2</v>
      </c>
      <c r="B716" s="148" t="inlineStr">
        <is>
          <t>MAT</t>
        </is>
      </c>
      <c r="C716" s="149" t="inlineStr">
        <is>
          <t>HFIX 내열비닐</t>
        </is>
      </c>
      <c r="D716" s="149" t="inlineStr">
        <is>
          <t>2.5㎟ 3C</t>
        </is>
      </c>
      <c r="E716" s="148" t="inlineStr">
        <is>
          <t>m</t>
        </is>
      </c>
      <c r="F716" s="160" t="n">
        <v>31.2</v>
      </c>
      <c r="G716" s="149" t="inlineStr">
        <is>
          <t>배관10.4m×가닥수</t>
        </is>
      </c>
      <c r="H716" s="148" t="inlineStr">
        <is>
          <t>◆</t>
        </is>
      </c>
    </row>
    <row r="717">
      <c r="A717" s="161" t="inlineStr"/>
      <c r="B717" s="161" t="inlineStr">
        <is>
          <t>ACC</t>
        </is>
      </c>
      <c r="C717" s="162" t="inlineStr">
        <is>
          <t xml:space="preserve">  ↳ 커플링</t>
        </is>
      </c>
      <c r="D717" s="162" t="inlineStr">
        <is>
          <t>16mm</t>
        </is>
      </c>
      <c r="E717" s="161" t="inlineStr">
        <is>
          <t>EA</t>
        </is>
      </c>
      <c r="F717" s="163" t="n">
        <v>3</v>
      </c>
      <c r="G717" s="162" t="inlineStr">
        <is>
          <t>10.4m÷3.6</t>
        </is>
      </c>
      <c r="H717" s="161" t="inlineStr">
        <is>
          <t>◆</t>
        </is>
      </c>
    </row>
    <row r="718">
      <c r="A718" s="161" t="inlineStr"/>
      <c r="B718" s="161" t="inlineStr">
        <is>
          <t>ACC</t>
        </is>
      </c>
      <c r="C718" s="162" t="inlineStr">
        <is>
          <t xml:space="preserve">  ↳ 커넥터</t>
        </is>
      </c>
      <c r="D718" s="162" t="inlineStr">
        <is>
          <t>16mm</t>
        </is>
      </c>
      <c r="E718" s="161" t="inlineStr">
        <is>
          <t>EA</t>
        </is>
      </c>
      <c r="F718" s="163" t="n">
        <v>2</v>
      </c>
      <c r="G718" s="162" t="inlineStr">
        <is>
          <t>양단 2개</t>
        </is>
      </c>
      <c r="H718" s="161" t="inlineStr">
        <is>
          <t>◆</t>
        </is>
      </c>
    </row>
    <row r="719">
      <c r="A719" s="161" t="inlineStr"/>
      <c r="B719" s="161" t="inlineStr">
        <is>
          <t>ACC</t>
        </is>
      </c>
      <c r="C719" s="162" t="inlineStr">
        <is>
          <t xml:space="preserve">  ↳ 부싱</t>
        </is>
      </c>
      <c r="D719" s="162" t="inlineStr">
        <is>
          <t>16mm</t>
        </is>
      </c>
      <c r="E719" s="161" t="inlineStr">
        <is>
          <t>EA</t>
        </is>
      </c>
      <c r="F719" s="163" t="n">
        <v>2</v>
      </c>
      <c r="G719" s="162">
        <f>커넥터수</f>
        <v/>
      </c>
      <c r="H719" s="161" t="inlineStr">
        <is>
          <t>◆</t>
        </is>
      </c>
    </row>
    <row r="720">
      <c r="A720" s="161" t="inlineStr"/>
      <c r="B720" s="161" t="inlineStr">
        <is>
          <t>ACC</t>
        </is>
      </c>
      <c r="C720" s="162" t="inlineStr">
        <is>
          <t xml:space="preserve">  ↳ 로크너트</t>
        </is>
      </c>
      <c r="D720" s="162" t="inlineStr">
        <is>
          <t>16mm</t>
        </is>
      </c>
      <c r="E720" s="161" t="inlineStr">
        <is>
          <t>EA</t>
        </is>
      </c>
      <c r="F720" s="163" t="n">
        <v>4</v>
      </c>
      <c r="G720" s="162">
        <f>커넥터×2</f>
        <v/>
      </c>
      <c r="H720" s="161" t="inlineStr">
        <is>
          <t>◆</t>
        </is>
      </c>
    </row>
    <row r="721">
      <c r="A721" s="161" t="inlineStr"/>
      <c r="B721" s="161" t="inlineStr">
        <is>
          <t>ACC</t>
        </is>
      </c>
      <c r="C721" s="162" t="inlineStr">
        <is>
          <t xml:space="preserve">  ↳ 새들</t>
        </is>
      </c>
      <c r="D721" s="162" t="inlineStr">
        <is>
          <t>16mm</t>
        </is>
      </c>
      <c r="E721" s="161" t="inlineStr">
        <is>
          <t>EA</t>
        </is>
      </c>
      <c r="F721" s="163" t="n">
        <v>7</v>
      </c>
      <c r="G721" s="162" t="inlineStr">
        <is>
          <t>10.4m÷1.5</t>
        </is>
      </c>
      <c r="H721" s="161" t="inlineStr">
        <is>
          <t>◆</t>
        </is>
      </c>
    </row>
    <row r="722" ht="14.25" customHeight="1" s="78">
      <c r="A722" s="158" t="inlineStr">
        <is>
          <t xml:space="preserve">  [20] L2 (LIGHTING)</t>
        </is>
      </c>
      <c r="B722" s="174" t="n"/>
      <c r="C722" s="174" t="n"/>
      <c r="D722" s="174" t="n"/>
      <c r="E722" s="174" t="n"/>
      <c r="F722" s="174" t="n"/>
      <c r="G722" s="174" t="n"/>
      <c r="H722" s="175" t="n"/>
    </row>
    <row r="723">
      <c r="A723" s="148" t="n">
        <v>1</v>
      </c>
      <c r="B723" s="148" t="inlineStr">
        <is>
          <t>MAT</t>
        </is>
      </c>
      <c r="C723" s="149" t="inlineStr">
        <is>
          <t>강제전선관 (ST)</t>
        </is>
      </c>
      <c r="D723" s="149" t="inlineStr">
        <is>
          <t>16mm</t>
        </is>
      </c>
      <c r="E723" s="148" t="inlineStr">
        <is>
          <t>m</t>
        </is>
      </c>
      <c r="F723" s="160" t="n">
        <v>32.5</v>
      </c>
      <c r="G723" s="149" t="inlineStr">
        <is>
          <t>길이산출 32.5m</t>
        </is>
      </c>
      <c r="H723" s="148" t="inlineStr">
        <is>
          <t>◆</t>
        </is>
      </c>
    </row>
    <row r="724">
      <c r="A724" s="148" t="n">
        <v>2</v>
      </c>
      <c r="B724" s="148" t="inlineStr">
        <is>
          <t>MAT</t>
        </is>
      </c>
      <c r="C724" s="149" t="inlineStr">
        <is>
          <t>HFIX 내열비닐</t>
        </is>
      </c>
      <c r="D724" s="149" t="inlineStr">
        <is>
          <t>2.5㎟ 3C</t>
        </is>
      </c>
      <c r="E724" s="148" t="inlineStr">
        <is>
          <t>m</t>
        </is>
      </c>
      <c r="F724" s="160" t="n">
        <v>97.5</v>
      </c>
      <c r="G724" s="149" t="inlineStr">
        <is>
          <t>배관32.5m×가닥수</t>
        </is>
      </c>
      <c r="H724" s="148" t="inlineStr">
        <is>
          <t>◆</t>
        </is>
      </c>
    </row>
    <row r="725">
      <c r="A725" s="161" t="inlineStr"/>
      <c r="B725" s="161" t="inlineStr">
        <is>
          <t>ACC</t>
        </is>
      </c>
      <c r="C725" s="162" t="inlineStr">
        <is>
          <t xml:space="preserve">  ↳ 커플링</t>
        </is>
      </c>
      <c r="D725" s="162" t="inlineStr">
        <is>
          <t>16mm</t>
        </is>
      </c>
      <c r="E725" s="161" t="inlineStr">
        <is>
          <t>EA</t>
        </is>
      </c>
      <c r="F725" s="163" t="n">
        <v>10</v>
      </c>
      <c r="G725" s="162" t="inlineStr">
        <is>
          <t>32.5m÷3.6</t>
        </is>
      </c>
      <c r="H725" s="161" t="inlineStr">
        <is>
          <t>◆</t>
        </is>
      </c>
    </row>
    <row r="726">
      <c r="A726" s="161" t="inlineStr"/>
      <c r="B726" s="161" t="inlineStr">
        <is>
          <t>ACC</t>
        </is>
      </c>
      <c r="C726" s="162" t="inlineStr">
        <is>
          <t xml:space="preserve">  ↳ 커넥터</t>
        </is>
      </c>
      <c r="D726" s="162" t="inlineStr">
        <is>
          <t>16mm</t>
        </is>
      </c>
      <c r="E726" s="161" t="inlineStr">
        <is>
          <t>EA</t>
        </is>
      </c>
      <c r="F726" s="163" t="n">
        <v>2</v>
      </c>
      <c r="G726" s="162" t="inlineStr">
        <is>
          <t>양단 2개</t>
        </is>
      </c>
      <c r="H726" s="161" t="inlineStr">
        <is>
          <t>◆</t>
        </is>
      </c>
    </row>
    <row r="727">
      <c r="A727" s="161" t="inlineStr"/>
      <c r="B727" s="161" t="inlineStr">
        <is>
          <t>ACC</t>
        </is>
      </c>
      <c r="C727" s="162" t="inlineStr">
        <is>
          <t xml:space="preserve">  ↳ 부싱</t>
        </is>
      </c>
      <c r="D727" s="162" t="inlineStr">
        <is>
          <t>16mm</t>
        </is>
      </c>
      <c r="E727" s="161" t="inlineStr">
        <is>
          <t>EA</t>
        </is>
      </c>
      <c r="F727" s="163" t="n">
        <v>2</v>
      </c>
      <c r="G727" s="162">
        <f>커넥터수</f>
        <v/>
      </c>
      <c r="H727" s="161" t="inlineStr">
        <is>
          <t>◆</t>
        </is>
      </c>
    </row>
    <row r="728">
      <c r="A728" s="161" t="inlineStr"/>
      <c r="B728" s="161" t="inlineStr">
        <is>
          <t>ACC</t>
        </is>
      </c>
      <c r="C728" s="162" t="inlineStr">
        <is>
          <t xml:space="preserve">  ↳ 로크너트</t>
        </is>
      </c>
      <c r="D728" s="162" t="inlineStr">
        <is>
          <t>16mm</t>
        </is>
      </c>
      <c r="E728" s="161" t="inlineStr">
        <is>
          <t>EA</t>
        </is>
      </c>
      <c r="F728" s="163" t="n">
        <v>4</v>
      </c>
      <c r="G728" s="162">
        <f>커넥터×2</f>
        <v/>
      </c>
      <c r="H728" s="161" t="inlineStr">
        <is>
          <t>◆</t>
        </is>
      </c>
    </row>
    <row r="729">
      <c r="A729" s="161" t="inlineStr"/>
      <c r="B729" s="161" t="inlineStr">
        <is>
          <t>ACC</t>
        </is>
      </c>
      <c r="C729" s="162" t="inlineStr">
        <is>
          <t xml:space="preserve">  ↳ 새들</t>
        </is>
      </c>
      <c r="D729" s="162" t="inlineStr">
        <is>
          <t>16mm</t>
        </is>
      </c>
      <c r="E729" s="161" t="inlineStr">
        <is>
          <t>EA</t>
        </is>
      </c>
      <c r="F729" s="163" t="n">
        <v>22</v>
      </c>
      <c r="G729" s="162" t="inlineStr">
        <is>
          <t>32.5m÷1.5</t>
        </is>
      </c>
      <c r="H729" s="161" t="inlineStr">
        <is>
          <t>◆</t>
        </is>
      </c>
    </row>
    <row r="730">
      <c r="A730" s="161" t="inlineStr"/>
      <c r="B730" s="161" t="inlineStr">
        <is>
          <t>ACC</t>
        </is>
      </c>
      <c r="C730" s="162" t="inlineStr">
        <is>
          <t xml:space="preserve">  ↳ 테프론선 2C (SMPS 2차측)</t>
        </is>
      </c>
      <c r="D730" s="162" t="inlineStr">
        <is>
          <t>1.5㎟ 2C</t>
        </is>
      </c>
      <c r="E730" s="161" t="inlineStr">
        <is>
          <t>m</t>
        </is>
      </c>
      <c r="F730" s="164" t="n">
        <v>16.2</v>
      </c>
      <c r="G730" s="162" t="inlineStr">
        <is>
          <t>SMPS→LED 2차측 ▲추정</t>
        </is>
      </c>
      <c r="H730" s="161" t="inlineStr">
        <is>
          <t>▲</t>
        </is>
      </c>
    </row>
    <row r="731">
      <c r="A731" s="161" t="inlineStr"/>
      <c r="B731" s="161" t="inlineStr">
        <is>
          <t>ACC</t>
        </is>
      </c>
      <c r="C731" s="162" t="inlineStr">
        <is>
          <t xml:space="preserve">  ↳ 석면튜브</t>
        </is>
      </c>
      <c r="D731" s="162" t="inlineStr">
        <is>
          <t>Φ6</t>
        </is>
      </c>
      <c r="E731" s="161" t="inlineStr">
        <is>
          <t>m</t>
        </is>
      </c>
      <c r="F731" s="164" t="n">
        <v>16.2</v>
      </c>
      <c r="G731" s="162">
        <f>테프론선 길이</f>
        <v/>
      </c>
      <c r="H731" s="161" t="inlineStr">
        <is>
          <t>▲</t>
        </is>
      </c>
    </row>
    <row r="732" ht="14.25" customHeight="1" s="78">
      <c r="A732" s="158" t="inlineStr">
        <is>
          <t xml:space="preserve">  [21] DC1 (비상조명등)</t>
        </is>
      </c>
      <c r="B732" s="174" t="n"/>
      <c r="C732" s="174" t="n"/>
      <c r="D732" s="174" t="n"/>
      <c r="E732" s="174" t="n"/>
      <c r="F732" s="174" t="n"/>
      <c r="G732" s="174" t="n"/>
      <c r="H732" s="175" t="n"/>
    </row>
    <row r="733">
      <c r="A733" s="148" t="n">
        <v>1</v>
      </c>
      <c r="B733" s="148" t="inlineStr">
        <is>
          <t>MAT</t>
        </is>
      </c>
      <c r="C733" s="149" t="inlineStr">
        <is>
          <t>강제전선관 (ST)</t>
        </is>
      </c>
      <c r="D733" s="149" t="inlineStr">
        <is>
          <t>16mm</t>
        </is>
      </c>
      <c r="E733" s="148" t="inlineStr">
        <is>
          <t>m</t>
        </is>
      </c>
      <c r="F733" s="160" t="n">
        <v>19.5</v>
      </c>
      <c r="G733" s="149" t="inlineStr">
        <is>
          <t>길이산출 19.5m</t>
        </is>
      </c>
      <c r="H733" s="148" t="inlineStr">
        <is>
          <t>◆</t>
        </is>
      </c>
    </row>
    <row r="734">
      <c r="A734" s="148" t="n">
        <v>2</v>
      </c>
      <c r="B734" s="148" t="inlineStr">
        <is>
          <t>MAT</t>
        </is>
      </c>
      <c r="C734" s="149" t="inlineStr">
        <is>
          <t>HFIX 내열비닐</t>
        </is>
      </c>
      <c r="D734" s="149" t="inlineStr">
        <is>
          <t>2.5㎟ 3C</t>
        </is>
      </c>
      <c r="E734" s="148" t="inlineStr">
        <is>
          <t>m</t>
        </is>
      </c>
      <c r="F734" s="160" t="n">
        <v>58.5</v>
      </c>
      <c r="G734" s="149" t="inlineStr">
        <is>
          <t>배관19.5m×가닥수</t>
        </is>
      </c>
      <c r="H734" s="148" t="inlineStr">
        <is>
          <t>◆</t>
        </is>
      </c>
    </row>
    <row r="735">
      <c r="A735" s="161" t="inlineStr"/>
      <c r="B735" s="161" t="inlineStr">
        <is>
          <t>ACC</t>
        </is>
      </c>
      <c r="C735" s="162" t="inlineStr">
        <is>
          <t xml:space="preserve">  ↳ 커플링</t>
        </is>
      </c>
      <c r="D735" s="162" t="inlineStr">
        <is>
          <t>16mm</t>
        </is>
      </c>
      <c r="E735" s="161" t="inlineStr">
        <is>
          <t>EA</t>
        </is>
      </c>
      <c r="F735" s="163" t="n">
        <v>6</v>
      </c>
      <c r="G735" s="162" t="inlineStr">
        <is>
          <t>19.5m÷3.6</t>
        </is>
      </c>
      <c r="H735" s="161" t="inlineStr">
        <is>
          <t>◆</t>
        </is>
      </c>
    </row>
    <row r="736">
      <c r="A736" s="161" t="inlineStr"/>
      <c r="B736" s="161" t="inlineStr">
        <is>
          <t>ACC</t>
        </is>
      </c>
      <c r="C736" s="162" t="inlineStr">
        <is>
          <t xml:space="preserve">  ↳ 커넥터</t>
        </is>
      </c>
      <c r="D736" s="162" t="inlineStr">
        <is>
          <t>16mm</t>
        </is>
      </c>
      <c r="E736" s="161" t="inlineStr">
        <is>
          <t>EA</t>
        </is>
      </c>
      <c r="F736" s="163" t="n">
        <v>2</v>
      </c>
      <c r="G736" s="162" t="inlineStr">
        <is>
          <t>양단 2개</t>
        </is>
      </c>
      <c r="H736" s="161" t="inlineStr">
        <is>
          <t>◆</t>
        </is>
      </c>
    </row>
    <row r="737">
      <c r="A737" s="161" t="inlineStr"/>
      <c r="B737" s="161" t="inlineStr">
        <is>
          <t>ACC</t>
        </is>
      </c>
      <c r="C737" s="162" t="inlineStr">
        <is>
          <t xml:space="preserve">  ↳ 부싱</t>
        </is>
      </c>
      <c r="D737" s="162" t="inlineStr">
        <is>
          <t>16mm</t>
        </is>
      </c>
      <c r="E737" s="161" t="inlineStr">
        <is>
          <t>EA</t>
        </is>
      </c>
      <c r="F737" s="163" t="n">
        <v>2</v>
      </c>
      <c r="G737" s="162">
        <f>커넥터수</f>
        <v/>
      </c>
      <c r="H737" s="161" t="inlineStr">
        <is>
          <t>◆</t>
        </is>
      </c>
    </row>
    <row r="738">
      <c r="A738" s="161" t="inlineStr"/>
      <c r="B738" s="161" t="inlineStr">
        <is>
          <t>ACC</t>
        </is>
      </c>
      <c r="C738" s="162" t="inlineStr">
        <is>
          <t xml:space="preserve">  ↳ 로크너트</t>
        </is>
      </c>
      <c r="D738" s="162" t="inlineStr">
        <is>
          <t>16mm</t>
        </is>
      </c>
      <c r="E738" s="161" t="inlineStr">
        <is>
          <t>EA</t>
        </is>
      </c>
      <c r="F738" s="163" t="n">
        <v>4</v>
      </c>
      <c r="G738" s="162">
        <f>커넥터×2</f>
        <v/>
      </c>
      <c r="H738" s="161" t="inlineStr">
        <is>
          <t>◆</t>
        </is>
      </c>
    </row>
    <row r="739">
      <c r="A739" s="161" t="inlineStr"/>
      <c r="B739" s="161" t="inlineStr">
        <is>
          <t>ACC</t>
        </is>
      </c>
      <c r="C739" s="162" t="inlineStr">
        <is>
          <t xml:space="preserve">  ↳ 새들</t>
        </is>
      </c>
      <c r="D739" s="162" t="inlineStr">
        <is>
          <t>16mm</t>
        </is>
      </c>
      <c r="E739" s="161" t="inlineStr">
        <is>
          <t>EA</t>
        </is>
      </c>
      <c r="F739" s="163" t="n">
        <v>13</v>
      </c>
      <c r="G739" s="162" t="inlineStr">
        <is>
          <t>19.5m÷1.5</t>
        </is>
      </c>
      <c r="H739" s="161" t="inlineStr">
        <is>
          <t>◆</t>
        </is>
      </c>
    </row>
    <row r="740">
      <c r="A740" s="161" t="inlineStr"/>
      <c r="B740" s="161" t="inlineStr">
        <is>
          <t>SUP</t>
        </is>
      </c>
      <c r="C740" s="162" t="inlineStr">
        <is>
          <t>전산볼트 M10 × 1m</t>
        </is>
      </c>
      <c r="D740" s="162" t="inlineStr">
        <is>
          <t>M10</t>
        </is>
      </c>
      <c r="E740" s="161" t="inlineStr">
        <is>
          <t>EA</t>
        </is>
      </c>
      <c r="F740" s="163" t="n">
        <v>72</v>
      </c>
      <c r="G740" s="162" t="inlineStr">
        <is>
          <t>총배관107.9m÷1.5</t>
        </is>
      </c>
      <c r="H740" s="161" t="inlineStr">
        <is>
          <t>◆</t>
        </is>
      </c>
    </row>
    <row r="741">
      <c r="A741" s="161" t="inlineStr"/>
      <c r="B741" s="161" t="inlineStr">
        <is>
          <t>SUP</t>
        </is>
      </c>
      <c r="C741" s="162" t="inlineStr">
        <is>
          <t>유크램프</t>
        </is>
      </c>
      <c r="D741" s="162" t="inlineStr">
        <is>
          <t>공용</t>
        </is>
      </c>
      <c r="E741" s="161" t="inlineStr">
        <is>
          <t>EA</t>
        </is>
      </c>
      <c r="F741" s="163" t="n">
        <v>72</v>
      </c>
      <c r="G741" s="162" t="inlineStr">
        <is>
          <t>총배관107.9m÷1.5</t>
        </is>
      </c>
      <c r="H741" s="161" t="inlineStr">
        <is>
          <t>◆</t>
        </is>
      </c>
    </row>
    <row r="742">
      <c r="A742" s="161" t="inlineStr"/>
      <c r="B742" s="161" t="inlineStr">
        <is>
          <t>CMN</t>
        </is>
      </c>
      <c r="C742" s="162" t="inlineStr">
        <is>
          <t>아울렛 박스 (4각)</t>
        </is>
      </c>
      <c r="D742" s="162" t="inlineStr">
        <is>
          <t>4각</t>
        </is>
      </c>
      <c r="E742" s="161" t="inlineStr">
        <is>
          <t>EA</t>
        </is>
      </c>
      <c r="F742" s="163" t="n">
        <v>10</v>
      </c>
      <c r="G742" s="162" t="inlineStr">
        <is>
          <t>접속점10개</t>
        </is>
      </c>
      <c r="H742" s="161" t="inlineStr">
        <is>
          <t>▲</t>
        </is>
      </c>
    </row>
    <row r="743">
      <c r="A743" s="161" t="inlineStr"/>
      <c r="B743" s="161" t="inlineStr">
        <is>
          <t>CMN</t>
        </is>
      </c>
      <c r="C743" s="162" t="inlineStr">
        <is>
          <t>풀박스</t>
        </is>
      </c>
      <c r="D743" s="162" t="inlineStr">
        <is>
          <t>200×200</t>
        </is>
      </c>
      <c r="E743" s="161" t="inlineStr">
        <is>
          <t>EA</t>
        </is>
      </c>
      <c r="F743" s="163" t="n">
        <v>3</v>
      </c>
      <c r="G743" s="162" t="inlineStr">
        <is>
          <t>107.9m÷30</t>
        </is>
      </c>
      <c r="H743" s="161" t="inlineStr">
        <is>
          <t>▲</t>
        </is>
      </c>
    </row>
    <row r="744">
      <c r="A744" s="161" t="inlineStr"/>
      <c r="B744" s="161" t="inlineStr">
        <is>
          <t>CMN</t>
        </is>
      </c>
      <c r="C744" s="162" t="inlineStr">
        <is>
          <t>와이어 커넥터</t>
        </is>
      </c>
      <c r="D744" s="162" t="inlineStr">
        <is>
          <t>중</t>
        </is>
      </c>
      <c r="E744" s="161" t="inlineStr">
        <is>
          <t>셋</t>
        </is>
      </c>
      <c r="F744" s="163" t="n">
        <v>30</v>
      </c>
      <c r="G744" s="162" t="inlineStr">
        <is>
          <t>접속점10×3</t>
        </is>
      </c>
      <c r="H744" s="161" t="inlineStr">
        <is>
          <t>▲</t>
        </is>
      </c>
    </row>
    <row r="745">
      <c r="A745" s="161" t="inlineStr"/>
      <c r="B745" s="161" t="inlineStr">
        <is>
          <t>CMN</t>
        </is>
      </c>
      <c r="C745" s="162" t="inlineStr">
        <is>
          <t>PVC 테이프</t>
        </is>
      </c>
      <c r="D745" s="162" t="inlineStr">
        <is>
          <t>19mm</t>
        </is>
      </c>
      <c r="E745" s="161" t="inlineStr">
        <is>
          <t>롤</t>
        </is>
      </c>
      <c r="F745" s="163" t="n">
        <v>1</v>
      </c>
      <c r="G745" s="162" t="inlineStr">
        <is>
          <t>접속점10÷10</t>
        </is>
      </c>
      <c r="H745" s="161" t="inlineStr">
        <is>
          <t>▲</t>
        </is>
      </c>
    </row>
    <row r="746" ht="14.25" customHeight="1" s="78">
      <c r="A746" s="165" t="inlineStr">
        <is>
          <t>( 2F 조명공사 소계 )</t>
        </is>
      </c>
      <c r="B746" s="174" t="n"/>
      <c r="C746" s="174" t="n"/>
      <c r="D746" s="174" t="n"/>
      <c r="E746" s="174" t="n"/>
      <c r="F746" s="174" t="n"/>
      <c r="G746" s="174" t="n"/>
      <c r="H746" s="175" t="n"/>
    </row>
    <row r="747">
      <c r="A747" s="167" t="inlineStr"/>
      <c r="B747" s="167" t="inlineStr">
        <is>
          <t>MAT</t>
        </is>
      </c>
      <c r="C747" s="168" t="inlineStr">
        <is>
          <t>HFIX 내열비닐</t>
        </is>
      </c>
      <c r="D747" s="168" t="inlineStr">
        <is>
          <t>2.5㎟ 3C</t>
        </is>
      </c>
      <c r="E747" s="167" t="inlineStr">
        <is>
          <t>m</t>
        </is>
      </c>
      <c r="F747" s="169" t="n">
        <v>323.7</v>
      </c>
      <c r="G747" s="168" t="inlineStr">
        <is>
          <t>8(97.5)+9(39.0)+10(31.2)+20(97.5)+21(58.5)</t>
        </is>
      </c>
      <c r="H747" s="167" t="inlineStr"/>
    </row>
    <row r="748">
      <c r="A748" s="167" t="inlineStr"/>
      <c r="B748" s="167" t="inlineStr">
        <is>
          <t>MAT</t>
        </is>
      </c>
      <c r="C748" s="168" t="inlineStr">
        <is>
          <t>강제전선관 (ST)</t>
        </is>
      </c>
      <c r="D748" s="168" t="inlineStr">
        <is>
          <t>16mm</t>
        </is>
      </c>
      <c r="E748" s="167" t="inlineStr">
        <is>
          <t>m</t>
        </is>
      </c>
      <c r="F748" s="169" t="n">
        <v>107.9</v>
      </c>
      <c r="G748" s="168" t="inlineStr">
        <is>
          <t>8(32.5)+9(13.0)+10(10.4)+20(32.5)+21(19.5)</t>
        </is>
      </c>
      <c r="H748" s="167" t="inlineStr"/>
    </row>
    <row r="749">
      <c r="A749" s="167" t="inlineStr"/>
      <c r="B749" s="167" t="inlineStr">
        <is>
          <t>ACC</t>
        </is>
      </c>
      <c r="C749" s="168" t="inlineStr">
        <is>
          <t>로크너트</t>
        </is>
      </c>
      <c r="D749" s="168" t="inlineStr">
        <is>
          <t>16mm</t>
        </is>
      </c>
      <c r="E749" s="167" t="inlineStr">
        <is>
          <t>EA</t>
        </is>
      </c>
      <c r="F749" s="170" t="n">
        <v>20</v>
      </c>
      <c r="G749" s="168" t="inlineStr">
        <is>
          <t>8(4)+9(4)+10(4)+20(4)+21(4)</t>
        </is>
      </c>
      <c r="H749" s="167" t="inlineStr"/>
    </row>
    <row r="750">
      <c r="A750" s="167" t="inlineStr"/>
      <c r="B750" s="167" t="inlineStr">
        <is>
          <t>ACC</t>
        </is>
      </c>
      <c r="C750" s="168" t="inlineStr">
        <is>
          <t>부싱</t>
        </is>
      </c>
      <c r="D750" s="168" t="inlineStr">
        <is>
          <t>16mm</t>
        </is>
      </c>
      <c r="E750" s="167" t="inlineStr">
        <is>
          <t>EA</t>
        </is>
      </c>
      <c r="F750" s="170" t="n">
        <v>10</v>
      </c>
      <c r="G750" s="168" t="inlineStr">
        <is>
          <t>8(2)+9(2)+10(2)+20(2)+21(2)</t>
        </is>
      </c>
      <c r="H750" s="167" t="inlineStr"/>
    </row>
    <row r="751">
      <c r="A751" s="167" t="inlineStr"/>
      <c r="B751" s="167" t="inlineStr">
        <is>
          <t>ACC</t>
        </is>
      </c>
      <c r="C751" s="168" t="inlineStr">
        <is>
          <t>새들</t>
        </is>
      </c>
      <c r="D751" s="168" t="inlineStr">
        <is>
          <t>16mm</t>
        </is>
      </c>
      <c r="E751" s="167" t="inlineStr">
        <is>
          <t>EA</t>
        </is>
      </c>
      <c r="F751" s="170" t="n">
        <v>73</v>
      </c>
      <c r="G751" s="168" t="inlineStr">
        <is>
          <t>8(22)+9(9)+10(7)+20(22)+21(13)</t>
        </is>
      </c>
      <c r="H751" s="167" t="inlineStr"/>
    </row>
    <row r="752">
      <c r="A752" s="167" t="inlineStr"/>
      <c r="B752" s="167" t="inlineStr">
        <is>
          <t>ACC</t>
        </is>
      </c>
      <c r="C752" s="168" t="inlineStr">
        <is>
          <t>석면튜브</t>
        </is>
      </c>
      <c r="D752" s="168" t="inlineStr">
        <is>
          <t>Φ6</t>
        </is>
      </c>
      <c r="E752" s="167" t="inlineStr">
        <is>
          <t>m</t>
        </is>
      </c>
      <c r="F752" s="169" t="n">
        <v>32.4</v>
      </c>
      <c r="G752" s="168" t="inlineStr">
        <is>
          <t>8(16.2)+20(16.2)</t>
        </is>
      </c>
      <c r="H752" s="167" t="inlineStr"/>
    </row>
    <row r="753">
      <c r="A753" s="167" t="inlineStr"/>
      <c r="B753" s="167" t="inlineStr">
        <is>
          <t>ACC</t>
        </is>
      </c>
      <c r="C753" s="168" t="inlineStr">
        <is>
          <t>커넥터</t>
        </is>
      </c>
      <c r="D753" s="168" t="inlineStr">
        <is>
          <t>16mm</t>
        </is>
      </c>
      <c r="E753" s="167" t="inlineStr">
        <is>
          <t>EA</t>
        </is>
      </c>
      <c r="F753" s="170" t="n">
        <v>10</v>
      </c>
      <c r="G753" s="168" t="inlineStr">
        <is>
          <t>8(2)+9(2)+10(2)+20(2)+21(2)</t>
        </is>
      </c>
      <c r="H753" s="167" t="inlineStr"/>
    </row>
    <row r="754">
      <c r="A754" s="167" t="inlineStr"/>
      <c r="B754" s="167" t="inlineStr">
        <is>
          <t>ACC</t>
        </is>
      </c>
      <c r="C754" s="168" t="inlineStr">
        <is>
          <t>커플링</t>
        </is>
      </c>
      <c r="D754" s="168" t="inlineStr">
        <is>
          <t>16mm</t>
        </is>
      </c>
      <c r="E754" s="167" t="inlineStr">
        <is>
          <t>EA</t>
        </is>
      </c>
      <c r="F754" s="170" t="n">
        <v>33</v>
      </c>
      <c r="G754" s="168" t="inlineStr">
        <is>
          <t>8(10)+9(4)+10(3)+20(10)+21(6)</t>
        </is>
      </c>
      <c r="H754" s="167" t="inlineStr"/>
    </row>
    <row r="755">
      <c r="A755" s="167" t="inlineStr"/>
      <c r="B755" s="167" t="inlineStr">
        <is>
          <t>ACC</t>
        </is>
      </c>
      <c r="C755" s="168" t="inlineStr">
        <is>
          <t>테프론선 2C (SMPS 2차측)</t>
        </is>
      </c>
      <c r="D755" s="168" t="inlineStr">
        <is>
          <t>1.5㎟ 2C</t>
        </is>
      </c>
      <c r="E755" s="167" t="inlineStr">
        <is>
          <t>m</t>
        </is>
      </c>
      <c r="F755" s="169" t="n">
        <v>32.4</v>
      </c>
      <c r="G755" s="168" t="inlineStr">
        <is>
          <t>8(16.2)+20(16.2)</t>
        </is>
      </c>
      <c r="H755" s="167" t="inlineStr"/>
    </row>
    <row r="756">
      <c r="A756" s="167" t="inlineStr"/>
      <c r="B756" s="167" t="inlineStr">
        <is>
          <t>SUP</t>
        </is>
      </c>
      <c r="C756" s="168" t="inlineStr">
        <is>
          <t>유크램프</t>
        </is>
      </c>
      <c r="D756" s="168" t="inlineStr">
        <is>
          <t>공용</t>
        </is>
      </c>
      <c r="E756" s="167" t="inlineStr">
        <is>
          <t>EA</t>
        </is>
      </c>
      <c r="F756" s="170" t="n">
        <v>72</v>
      </c>
      <c r="G756" s="168" t="inlineStr">
        <is>
          <t>공정전체(72)</t>
        </is>
      </c>
      <c r="H756" s="167" t="inlineStr"/>
    </row>
    <row r="757">
      <c r="A757" s="167" t="inlineStr"/>
      <c r="B757" s="167" t="inlineStr">
        <is>
          <t>SUP</t>
        </is>
      </c>
      <c r="C757" s="168" t="inlineStr">
        <is>
          <t>전산볼트 M10 × 1m</t>
        </is>
      </c>
      <c r="D757" s="168" t="inlineStr">
        <is>
          <t>M10</t>
        </is>
      </c>
      <c r="E757" s="167" t="inlineStr">
        <is>
          <t>EA</t>
        </is>
      </c>
      <c r="F757" s="170" t="n">
        <v>72</v>
      </c>
      <c r="G757" s="168" t="inlineStr">
        <is>
          <t>공정전체(72)</t>
        </is>
      </c>
      <c r="H757" s="167" t="inlineStr"/>
    </row>
    <row r="758">
      <c r="A758" s="167" t="inlineStr"/>
      <c r="B758" s="167" t="inlineStr">
        <is>
          <t>CMN</t>
        </is>
      </c>
      <c r="C758" s="168" t="inlineStr">
        <is>
          <t>PVC 테이프</t>
        </is>
      </c>
      <c r="D758" s="168" t="inlineStr">
        <is>
          <t>19mm</t>
        </is>
      </c>
      <c r="E758" s="167" t="inlineStr">
        <is>
          <t>롤</t>
        </is>
      </c>
      <c r="F758" s="170" t="n">
        <v>1</v>
      </c>
      <c r="G758" s="168" t="inlineStr">
        <is>
          <t>공정전체(1)</t>
        </is>
      </c>
      <c r="H758" s="167" t="inlineStr"/>
    </row>
    <row r="759">
      <c r="A759" s="167" t="inlineStr"/>
      <c r="B759" s="167" t="inlineStr">
        <is>
          <t>CMN</t>
        </is>
      </c>
      <c r="C759" s="168" t="inlineStr">
        <is>
          <t>아울렛 박스 (4각)</t>
        </is>
      </c>
      <c r="D759" s="168" t="inlineStr">
        <is>
          <t>4각</t>
        </is>
      </c>
      <c r="E759" s="167" t="inlineStr">
        <is>
          <t>EA</t>
        </is>
      </c>
      <c r="F759" s="170" t="n">
        <v>10</v>
      </c>
      <c r="G759" s="168" t="inlineStr">
        <is>
          <t>공정전체(10)</t>
        </is>
      </c>
      <c r="H759" s="167" t="inlineStr"/>
    </row>
    <row r="760">
      <c r="A760" s="167" t="inlineStr"/>
      <c r="B760" s="167" t="inlineStr">
        <is>
          <t>CMN</t>
        </is>
      </c>
      <c r="C760" s="168" t="inlineStr">
        <is>
          <t>와이어 커넥터</t>
        </is>
      </c>
      <c r="D760" s="168" t="inlineStr">
        <is>
          <t>중</t>
        </is>
      </c>
      <c r="E760" s="167" t="inlineStr">
        <is>
          <t>셋</t>
        </is>
      </c>
      <c r="F760" s="170" t="n">
        <v>30</v>
      </c>
      <c r="G760" s="168" t="inlineStr">
        <is>
          <t>공정전체(30)</t>
        </is>
      </c>
      <c r="H760" s="167" t="inlineStr"/>
    </row>
    <row r="761">
      <c r="A761" s="167" t="inlineStr"/>
      <c r="B761" s="167" t="inlineStr">
        <is>
          <t>CMN</t>
        </is>
      </c>
      <c r="C761" s="168" t="inlineStr">
        <is>
          <t>풀박스</t>
        </is>
      </c>
      <c r="D761" s="168" t="inlineStr">
        <is>
          <t>200×200</t>
        </is>
      </c>
      <c r="E761" s="167" t="inlineStr">
        <is>
          <t>EA</t>
        </is>
      </c>
      <c r="F761" s="170" t="n">
        <v>3</v>
      </c>
      <c r="G761" s="168" t="inlineStr">
        <is>
          <t>공정전체(3)</t>
        </is>
      </c>
      <c r="H761" s="167" t="inlineStr"/>
    </row>
    <row r="763" ht="14.25" customHeight="1" s="78">
      <c r="A763" s="156" t="inlineStr">
        <is>
          <t>10. B1F 전열·조명공사</t>
        </is>
      </c>
      <c r="B763" s="174" t="n"/>
      <c r="C763" s="174" t="n"/>
      <c r="D763" s="174" t="n"/>
      <c r="E763" s="174" t="n"/>
      <c r="F763" s="174" t="n"/>
      <c r="G763" s="174" t="n"/>
      <c r="H763" s="175" t="n"/>
    </row>
    <row r="764" ht="14.25" customHeight="1" s="78">
      <c r="A764" s="158" t="inlineStr">
        <is>
          <t xml:space="preserve">  [1] A3 (에어커튼)</t>
        </is>
      </c>
      <c r="B764" s="174" t="n"/>
      <c r="C764" s="174" t="n"/>
      <c r="D764" s="174" t="n"/>
      <c r="E764" s="174" t="n"/>
      <c r="F764" s="174" t="n"/>
      <c r="G764" s="174" t="n"/>
      <c r="H764" s="175" t="n"/>
    </row>
    <row r="765">
      <c r="A765" s="148" t="n">
        <v>1</v>
      </c>
      <c r="B765" s="148" t="inlineStr">
        <is>
          <t>MAT</t>
        </is>
      </c>
      <c r="C765" s="149" t="inlineStr">
        <is>
          <t>강제전선관 (ST)</t>
        </is>
      </c>
      <c r="D765" s="149" t="inlineStr">
        <is>
          <t>22mm</t>
        </is>
      </c>
      <c r="E765" s="148" t="inlineStr">
        <is>
          <t>m</t>
        </is>
      </c>
      <c r="F765" s="160" t="n">
        <v>13</v>
      </c>
      <c r="G765" s="149" t="inlineStr">
        <is>
          <t>길이산출 13.0m</t>
        </is>
      </c>
      <c r="H765" s="148" t="inlineStr">
        <is>
          <t>◆</t>
        </is>
      </c>
    </row>
    <row r="766">
      <c r="A766" s="148" t="n">
        <v>2</v>
      </c>
      <c r="B766" s="148" t="inlineStr">
        <is>
          <t>MAT</t>
        </is>
      </c>
      <c r="C766" s="149" t="inlineStr">
        <is>
          <t>HFIX 내열비닐</t>
        </is>
      </c>
      <c r="D766" s="149" t="inlineStr">
        <is>
          <t>4㎟ 3C</t>
        </is>
      </c>
      <c r="E766" s="148" t="inlineStr">
        <is>
          <t>m</t>
        </is>
      </c>
      <c r="F766" s="160" t="n">
        <v>39</v>
      </c>
      <c r="G766" s="149" t="inlineStr">
        <is>
          <t>배관13.0m×가닥수</t>
        </is>
      </c>
      <c r="H766" s="148" t="inlineStr">
        <is>
          <t>◆</t>
        </is>
      </c>
    </row>
    <row r="767">
      <c r="A767" s="161" t="inlineStr"/>
      <c r="B767" s="161" t="inlineStr">
        <is>
          <t>ACC</t>
        </is>
      </c>
      <c r="C767" s="162" t="inlineStr">
        <is>
          <t xml:space="preserve">  ↳ 커플링</t>
        </is>
      </c>
      <c r="D767" s="162" t="inlineStr">
        <is>
          <t>22mm</t>
        </is>
      </c>
      <c r="E767" s="161" t="inlineStr">
        <is>
          <t>EA</t>
        </is>
      </c>
      <c r="F767" s="163" t="n">
        <v>4</v>
      </c>
      <c r="G767" s="162" t="inlineStr">
        <is>
          <t>13.0m÷3.6</t>
        </is>
      </c>
      <c r="H767" s="161" t="inlineStr">
        <is>
          <t>◆</t>
        </is>
      </c>
    </row>
    <row r="768">
      <c r="A768" s="161" t="inlineStr"/>
      <c r="B768" s="161" t="inlineStr">
        <is>
          <t>ACC</t>
        </is>
      </c>
      <c r="C768" s="162" t="inlineStr">
        <is>
          <t xml:space="preserve">  ↳ 커넥터</t>
        </is>
      </c>
      <c r="D768" s="162" t="inlineStr">
        <is>
          <t>22mm</t>
        </is>
      </c>
      <c r="E768" s="161" t="inlineStr">
        <is>
          <t>EA</t>
        </is>
      </c>
      <c r="F768" s="163" t="n">
        <v>2</v>
      </c>
      <c r="G768" s="162" t="inlineStr">
        <is>
          <t>양단 2개</t>
        </is>
      </c>
      <c r="H768" s="161" t="inlineStr">
        <is>
          <t>◆</t>
        </is>
      </c>
    </row>
    <row r="769">
      <c r="A769" s="161" t="inlineStr"/>
      <c r="B769" s="161" t="inlineStr">
        <is>
          <t>ACC</t>
        </is>
      </c>
      <c r="C769" s="162" t="inlineStr">
        <is>
          <t xml:space="preserve">  ↳ 부싱</t>
        </is>
      </c>
      <c r="D769" s="162" t="inlineStr">
        <is>
          <t>22mm</t>
        </is>
      </c>
      <c r="E769" s="161" t="inlineStr">
        <is>
          <t>EA</t>
        </is>
      </c>
      <c r="F769" s="163" t="n">
        <v>2</v>
      </c>
      <c r="G769" s="162">
        <f>커넥터수</f>
        <v/>
      </c>
      <c r="H769" s="161" t="inlineStr">
        <is>
          <t>◆</t>
        </is>
      </c>
    </row>
    <row r="770">
      <c r="A770" s="161" t="inlineStr"/>
      <c r="B770" s="161" t="inlineStr">
        <is>
          <t>ACC</t>
        </is>
      </c>
      <c r="C770" s="162" t="inlineStr">
        <is>
          <t xml:space="preserve">  ↳ 로크너트</t>
        </is>
      </c>
      <c r="D770" s="162" t="inlineStr">
        <is>
          <t>22mm</t>
        </is>
      </c>
      <c r="E770" s="161" t="inlineStr">
        <is>
          <t>EA</t>
        </is>
      </c>
      <c r="F770" s="163" t="n">
        <v>4</v>
      </c>
      <c r="G770" s="162">
        <f>커넥터×2</f>
        <v/>
      </c>
      <c r="H770" s="161" t="inlineStr">
        <is>
          <t>◆</t>
        </is>
      </c>
    </row>
    <row r="771">
      <c r="A771" s="161" t="inlineStr"/>
      <c r="B771" s="161" t="inlineStr">
        <is>
          <t>ACC</t>
        </is>
      </c>
      <c r="C771" s="162" t="inlineStr">
        <is>
          <t xml:space="preserve">  ↳ 새들</t>
        </is>
      </c>
      <c r="D771" s="162" t="inlineStr">
        <is>
          <t>22mm</t>
        </is>
      </c>
      <c r="E771" s="161" t="inlineStr">
        <is>
          <t>EA</t>
        </is>
      </c>
      <c r="F771" s="163" t="n">
        <v>9</v>
      </c>
      <c r="G771" s="162" t="inlineStr">
        <is>
          <t>13.0m÷1.5</t>
        </is>
      </c>
      <c r="H771" s="161" t="inlineStr">
        <is>
          <t>◆</t>
        </is>
      </c>
    </row>
    <row r="772" ht="14.25" customHeight="1" s="78">
      <c r="A772" s="158" t="inlineStr">
        <is>
          <t xml:space="preserve">  [2] ER2 (매니저룸)</t>
        </is>
      </c>
      <c r="B772" s="174" t="n"/>
      <c r="C772" s="174" t="n"/>
      <c r="D772" s="174" t="n"/>
      <c r="E772" s="174" t="n"/>
      <c r="F772" s="174" t="n"/>
      <c r="G772" s="174" t="n"/>
      <c r="H772" s="175" t="n"/>
    </row>
    <row r="773">
      <c r="A773" s="148" t="n">
        <v>1</v>
      </c>
      <c r="B773" s="148" t="inlineStr">
        <is>
          <t>MAT</t>
        </is>
      </c>
      <c r="C773" s="149" t="inlineStr">
        <is>
          <t>강제전선관 (ST)</t>
        </is>
      </c>
      <c r="D773" s="149" t="inlineStr">
        <is>
          <t>16mm</t>
        </is>
      </c>
      <c r="E773" s="148" t="inlineStr">
        <is>
          <t>m</t>
        </is>
      </c>
      <c r="F773" s="160" t="n">
        <v>7.8</v>
      </c>
      <c r="G773" s="149" t="inlineStr">
        <is>
          <t>길이산출 7.8m</t>
        </is>
      </c>
      <c r="H773" s="148" t="inlineStr">
        <is>
          <t>◆</t>
        </is>
      </c>
    </row>
    <row r="774">
      <c r="A774" s="148" t="n">
        <v>2</v>
      </c>
      <c r="B774" s="148" t="inlineStr">
        <is>
          <t>MAT</t>
        </is>
      </c>
      <c r="C774" s="149" t="inlineStr">
        <is>
          <t>HFIX 내열비닐</t>
        </is>
      </c>
      <c r="D774" s="149" t="inlineStr">
        <is>
          <t>2.5㎟ 3C</t>
        </is>
      </c>
      <c r="E774" s="148" t="inlineStr">
        <is>
          <t>m</t>
        </is>
      </c>
      <c r="F774" s="160" t="n">
        <v>23.4</v>
      </c>
      <c r="G774" s="149" t="inlineStr">
        <is>
          <t>배관7.8m×가닥수</t>
        </is>
      </c>
      <c r="H774" s="148" t="inlineStr">
        <is>
          <t>◆</t>
        </is>
      </c>
    </row>
    <row r="775">
      <c r="A775" s="161" t="inlineStr"/>
      <c r="B775" s="161" t="inlineStr">
        <is>
          <t>ACC</t>
        </is>
      </c>
      <c r="C775" s="162" t="inlineStr">
        <is>
          <t xml:space="preserve">  ↳ 커플링</t>
        </is>
      </c>
      <c r="D775" s="162" t="inlineStr">
        <is>
          <t>16mm</t>
        </is>
      </c>
      <c r="E775" s="161" t="inlineStr">
        <is>
          <t>EA</t>
        </is>
      </c>
      <c r="F775" s="163" t="n">
        <v>3</v>
      </c>
      <c r="G775" s="162" t="inlineStr">
        <is>
          <t>7.8m÷3.6</t>
        </is>
      </c>
      <c r="H775" s="161" t="inlineStr">
        <is>
          <t>◆</t>
        </is>
      </c>
    </row>
    <row r="776">
      <c r="A776" s="161" t="inlineStr"/>
      <c r="B776" s="161" t="inlineStr">
        <is>
          <t>ACC</t>
        </is>
      </c>
      <c r="C776" s="162" t="inlineStr">
        <is>
          <t xml:space="preserve">  ↳ 커넥터</t>
        </is>
      </c>
      <c r="D776" s="162" t="inlineStr">
        <is>
          <t>16mm</t>
        </is>
      </c>
      <c r="E776" s="161" t="inlineStr">
        <is>
          <t>EA</t>
        </is>
      </c>
      <c r="F776" s="163" t="n">
        <v>2</v>
      </c>
      <c r="G776" s="162" t="inlineStr">
        <is>
          <t>양단 2개</t>
        </is>
      </c>
      <c r="H776" s="161" t="inlineStr">
        <is>
          <t>◆</t>
        </is>
      </c>
    </row>
    <row r="777">
      <c r="A777" s="161" t="inlineStr"/>
      <c r="B777" s="161" t="inlineStr">
        <is>
          <t>ACC</t>
        </is>
      </c>
      <c r="C777" s="162" t="inlineStr">
        <is>
          <t xml:space="preserve">  ↳ 부싱</t>
        </is>
      </c>
      <c r="D777" s="162" t="inlineStr">
        <is>
          <t>16mm</t>
        </is>
      </c>
      <c r="E777" s="161" t="inlineStr">
        <is>
          <t>EA</t>
        </is>
      </c>
      <c r="F777" s="163" t="n">
        <v>2</v>
      </c>
      <c r="G777" s="162">
        <f>커넥터수</f>
        <v/>
      </c>
      <c r="H777" s="161" t="inlineStr">
        <is>
          <t>◆</t>
        </is>
      </c>
    </row>
    <row r="778">
      <c r="A778" s="161" t="inlineStr"/>
      <c r="B778" s="161" t="inlineStr">
        <is>
          <t>ACC</t>
        </is>
      </c>
      <c r="C778" s="162" t="inlineStr">
        <is>
          <t xml:space="preserve">  ↳ 로크너트</t>
        </is>
      </c>
      <c r="D778" s="162" t="inlineStr">
        <is>
          <t>16mm</t>
        </is>
      </c>
      <c r="E778" s="161" t="inlineStr">
        <is>
          <t>EA</t>
        </is>
      </c>
      <c r="F778" s="163" t="n">
        <v>4</v>
      </c>
      <c r="G778" s="162">
        <f>커넥터×2</f>
        <v/>
      </c>
      <c r="H778" s="161" t="inlineStr">
        <is>
          <t>◆</t>
        </is>
      </c>
    </row>
    <row r="779">
      <c r="A779" s="161" t="inlineStr"/>
      <c r="B779" s="161" t="inlineStr">
        <is>
          <t>ACC</t>
        </is>
      </c>
      <c r="C779" s="162" t="inlineStr">
        <is>
          <t xml:space="preserve">  ↳ 새들</t>
        </is>
      </c>
      <c r="D779" s="162" t="inlineStr">
        <is>
          <t>16mm</t>
        </is>
      </c>
      <c r="E779" s="161" t="inlineStr">
        <is>
          <t>EA</t>
        </is>
      </c>
      <c r="F779" s="163" t="n">
        <v>6</v>
      </c>
      <c r="G779" s="162" t="inlineStr">
        <is>
          <t>7.8m÷1.5</t>
        </is>
      </c>
      <c r="H779" s="161" t="inlineStr">
        <is>
          <t>◆</t>
        </is>
      </c>
    </row>
    <row r="780" ht="14.25" customHeight="1" s="78">
      <c r="A780" s="158" t="inlineStr">
        <is>
          <t xml:space="preserve">  [3] ER3 (매니저룸(단상RACK))</t>
        </is>
      </c>
      <c r="B780" s="174" t="n"/>
      <c r="C780" s="174" t="n"/>
      <c r="D780" s="174" t="n"/>
      <c r="E780" s="174" t="n"/>
      <c r="F780" s="174" t="n"/>
      <c r="G780" s="174" t="n"/>
      <c r="H780" s="175" t="n"/>
    </row>
    <row r="781">
      <c r="A781" s="148" t="n">
        <v>1</v>
      </c>
      <c r="B781" s="148" t="inlineStr">
        <is>
          <t>MAT</t>
        </is>
      </c>
      <c r="C781" s="149" t="inlineStr">
        <is>
          <t>강제전선관 (ST)</t>
        </is>
      </c>
      <c r="D781" s="149" t="inlineStr">
        <is>
          <t>16mm</t>
        </is>
      </c>
      <c r="E781" s="148" t="inlineStr">
        <is>
          <t>m</t>
        </is>
      </c>
      <c r="F781" s="160" t="n">
        <v>7.8</v>
      </c>
      <c r="G781" s="149" t="inlineStr">
        <is>
          <t>길이산출 7.8m</t>
        </is>
      </c>
      <c r="H781" s="148" t="inlineStr">
        <is>
          <t>◆</t>
        </is>
      </c>
    </row>
    <row r="782">
      <c r="A782" s="148" t="n">
        <v>2</v>
      </c>
      <c r="B782" s="148" t="inlineStr">
        <is>
          <t>MAT</t>
        </is>
      </c>
      <c r="C782" s="149" t="inlineStr">
        <is>
          <t>HFIX 내열비닐</t>
        </is>
      </c>
      <c r="D782" s="149" t="inlineStr">
        <is>
          <t>2.5㎟ 3C</t>
        </is>
      </c>
      <c r="E782" s="148" t="inlineStr">
        <is>
          <t>m</t>
        </is>
      </c>
      <c r="F782" s="160" t="n">
        <v>23.4</v>
      </c>
      <c r="G782" s="149" t="inlineStr">
        <is>
          <t>배관7.8m×가닥수</t>
        </is>
      </c>
      <c r="H782" s="148" t="inlineStr">
        <is>
          <t>◆</t>
        </is>
      </c>
    </row>
    <row r="783">
      <c r="A783" s="161" t="inlineStr"/>
      <c r="B783" s="161" t="inlineStr">
        <is>
          <t>ACC</t>
        </is>
      </c>
      <c r="C783" s="162" t="inlineStr">
        <is>
          <t xml:space="preserve">  ↳ 커플링</t>
        </is>
      </c>
      <c r="D783" s="162" t="inlineStr">
        <is>
          <t>16mm</t>
        </is>
      </c>
      <c r="E783" s="161" t="inlineStr">
        <is>
          <t>EA</t>
        </is>
      </c>
      <c r="F783" s="163" t="n">
        <v>3</v>
      </c>
      <c r="G783" s="162" t="inlineStr">
        <is>
          <t>7.8m÷3.6</t>
        </is>
      </c>
      <c r="H783" s="161" t="inlineStr">
        <is>
          <t>◆</t>
        </is>
      </c>
    </row>
    <row r="784">
      <c r="A784" s="161" t="inlineStr"/>
      <c r="B784" s="161" t="inlineStr">
        <is>
          <t>ACC</t>
        </is>
      </c>
      <c r="C784" s="162" t="inlineStr">
        <is>
          <t xml:space="preserve">  ↳ 커넥터</t>
        </is>
      </c>
      <c r="D784" s="162" t="inlineStr">
        <is>
          <t>16mm</t>
        </is>
      </c>
      <c r="E784" s="161" t="inlineStr">
        <is>
          <t>EA</t>
        </is>
      </c>
      <c r="F784" s="163" t="n">
        <v>2</v>
      </c>
      <c r="G784" s="162" t="inlineStr">
        <is>
          <t>양단 2개</t>
        </is>
      </c>
      <c r="H784" s="161" t="inlineStr">
        <is>
          <t>◆</t>
        </is>
      </c>
    </row>
    <row r="785">
      <c r="A785" s="161" t="inlineStr"/>
      <c r="B785" s="161" t="inlineStr">
        <is>
          <t>ACC</t>
        </is>
      </c>
      <c r="C785" s="162" t="inlineStr">
        <is>
          <t xml:space="preserve">  ↳ 부싱</t>
        </is>
      </c>
      <c r="D785" s="162" t="inlineStr">
        <is>
          <t>16mm</t>
        </is>
      </c>
      <c r="E785" s="161" t="inlineStr">
        <is>
          <t>EA</t>
        </is>
      </c>
      <c r="F785" s="163" t="n">
        <v>2</v>
      </c>
      <c r="G785" s="162">
        <f>커넥터수</f>
        <v/>
      </c>
      <c r="H785" s="161" t="inlineStr">
        <is>
          <t>◆</t>
        </is>
      </c>
    </row>
    <row r="786">
      <c r="A786" s="161" t="inlineStr"/>
      <c r="B786" s="161" t="inlineStr">
        <is>
          <t>ACC</t>
        </is>
      </c>
      <c r="C786" s="162" t="inlineStr">
        <is>
          <t xml:space="preserve">  ↳ 로크너트</t>
        </is>
      </c>
      <c r="D786" s="162" t="inlineStr">
        <is>
          <t>16mm</t>
        </is>
      </c>
      <c r="E786" s="161" t="inlineStr">
        <is>
          <t>EA</t>
        </is>
      </c>
      <c r="F786" s="163" t="n">
        <v>4</v>
      </c>
      <c r="G786" s="162">
        <f>커넥터×2</f>
        <v/>
      </c>
      <c r="H786" s="161" t="inlineStr">
        <is>
          <t>◆</t>
        </is>
      </c>
    </row>
    <row r="787">
      <c r="A787" s="161" t="inlineStr"/>
      <c r="B787" s="161" t="inlineStr">
        <is>
          <t>ACC</t>
        </is>
      </c>
      <c r="C787" s="162" t="inlineStr">
        <is>
          <t xml:space="preserve">  ↳ 새들</t>
        </is>
      </c>
      <c r="D787" s="162" t="inlineStr">
        <is>
          <t>16mm</t>
        </is>
      </c>
      <c r="E787" s="161" t="inlineStr">
        <is>
          <t>EA</t>
        </is>
      </c>
      <c r="F787" s="163" t="n">
        <v>6</v>
      </c>
      <c r="G787" s="162" t="inlineStr">
        <is>
          <t>7.8m÷1.5</t>
        </is>
      </c>
      <c r="H787" s="161" t="inlineStr">
        <is>
          <t>◆</t>
        </is>
      </c>
    </row>
    <row r="788" ht="14.25" customHeight="1" s="78">
      <c r="A788" s="158" t="inlineStr">
        <is>
          <t xml:space="preserve">  [4] SP1 (간이 스프링쿨러)</t>
        </is>
      </c>
      <c r="B788" s="174" t="n"/>
      <c r="C788" s="174" t="n"/>
      <c r="D788" s="174" t="n"/>
      <c r="E788" s="174" t="n"/>
      <c r="F788" s="174" t="n"/>
      <c r="G788" s="174" t="n"/>
      <c r="H788" s="175" t="n"/>
    </row>
    <row r="789">
      <c r="A789" s="148" t="n">
        <v>1</v>
      </c>
      <c r="B789" s="148" t="inlineStr">
        <is>
          <t>MAT</t>
        </is>
      </c>
      <c r="C789" s="149" t="inlineStr">
        <is>
          <t>강제전선관 (ST)</t>
        </is>
      </c>
      <c r="D789" s="149" t="inlineStr">
        <is>
          <t>16mm</t>
        </is>
      </c>
      <c r="E789" s="148" t="inlineStr">
        <is>
          <t>m</t>
        </is>
      </c>
      <c r="F789" s="160" t="n">
        <v>23.4</v>
      </c>
      <c r="G789" s="149" t="inlineStr">
        <is>
          <t>길이산출 23.4m</t>
        </is>
      </c>
      <c r="H789" s="148" t="inlineStr">
        <is>
          <t>◆</t>
        </is>
      </c>
    </row>
    <row r="790">
      <c r="A790" s="148" t="n">
        <v>2</v>
      </c>
      <c r="B790" s="148" t="inlineStr">
        <is>
          <t>MAT</t>
        </is>
      </c>
      <c r="C790" s="149" t="inlineStr">
        <is>
          <t>HFIX 내열비닐</t>
        </is>
      </c>
      <c r="D790" s="149" t="inlineStr">
        <is>
          <t>2.5㎟ 3C</t>
        </is>
      </c>
      <c r="E790" s="148" t="inlineStr">
        <is>
          <t>m</t>
        </is>
      </c>
      <c r="F790" s="160" t="n">
        <v>70.2</v>
      </c>
      <c r="G790" s="149" t="inlineStr">
        <is>
          <t>배관23.4m×가닥수</t>
        </is>
      </c>
      <c r="H790" s="148" t="inlineStr">
        <is>
          <t>◆</t>
        </is>
      </c>
    </row>
    <row r="791">
      <c r="A791" s="161" t="inlineStr"/>
      <c r="B791" s="161" t="inlineStr">
        <is>
          <t>ACC</t>
        </is>
      </c>
      <c r="C791" s="162" t="inlineStr">
        <is>
          <t xml:space="preserve">  ↳ 커플링</t>
        </is>
      </c>
      <c r="D791" s="162" t="inlineStr">
        <is>
          <t>16mm</t>
        </is>
      </c>
      <c r="E791" s="161" t="inlineStr">
        <is>
          <t>EA</t>
        </is>
      </c>
      <c r="F791" s="163" t="n">
        <v>7</v>
      </c>
      <c r="G791" s="162" t="inlineStr">
        <is>
          <t>23.4m÷3.6</t>
        </is>
      </c>
      <c r="H791" s="161" t="inlineStr">
        <is>
          <t>◆</t>
        </is>
      </c>
    </row>
    <row r="792">
      <c r="A792" s="161" t="inlineStr"/>
      <c r="B792" s="161" t="inlineStr">
        <is>
          <t>ACC</t>
        </is>
      </c>
      <c r="C792" s="162" t="inlineStr">
        <is>
          <t xml:space="preserve">  ↳ 커넥터</t>
        </is>
      </c>
      <c r="D792" s="162" t="inlineStr">
        <is>
          <t>16mm</t>
        </is>
      </c>
      <c r="E792" s="161" t="inlineStr">
        <is>
          <t>EA</t>
        </is>
      </c>
      <c r="F792" s="163" t="n">
        <v>2</v>
      </c>
      <c r="G792" s="162" t="inlineStr">
        <is>
          <t>양단 2개</t>
        </is>
      </c>
      <c r="H792" s="161" t="inlineStr">
        <is>
          <t>◆</t>
        </is>
      </c>
    </row>
    <row r="793">
      <c r="A793" s="161" t="inlineStr"/>
      <c r="B793" s="161" t="inlineStr">
        <is>
          <t>ACC</t>
        </is>
      </c>
      <c r="C793" s="162" t="inlineStr">
        <is>
          <t xml:space="preserve">  ↳ 부싱</t>
        </is>
      </c>
      <c r="D793" s="162" t="inlineStr">
        <is>
          <t>16mm</t>
        </is>
      </c>
      <c r="E793" s="161" t="inlineStr">
        <is>
          <t>EA</t>
        </is>
      </c>
      <c r="F793" s="163" t="n">
        <v>2</v>
      </c>
      <c r="G793" s="162">
        <f>커넥터수</f>
        <v/>
      </c>
      <c r="H793" s="161" t="inlineStr">
        <is>
          <t>◆</t>
        </is>
      </c>
    </row>
    <row r="794">
      <c r="A794" s="161" t="inlineStr"/>
      <c r="B794" s="161" t="inlineStr">
        <is>
          <t>ACC</t>
        </is>
      </c>
      <c r="C794" s="162" t="inlineStr">
        <is>
          <t xml:space="preserve">  ↳ 로크너트</t>
        </is>
      </c>
      <c r="D794" s="162" t="inlineStr">
        <is>
          <t>16mm</t>
        </is>
      </c>
      <c r="E794" s="161" t="inlineStr">
        <is>
          <t>EA</t>
        </is>
      </c>
      <c r="F794" s="163" t="n">
        <v>4</v>
      </c>
      <c r="G794" s="162">
        <f>커넥터×2</f>
        <v/>
      </c>
      <c r="H794" s="161" t="inlineStr">
        <is>
          <t>◆</t>
        </is>
      </c>
    </row>
    <row r="795">
      <c r="A795" s="161" t="inlineStr"/>
      <c r="B795" s="161" t="inlineStr">
        <is>
          <t>ACC</t>
        </is>
      </c>
      <c r="C795" s="162" t="inlineStr">
        <is>
          <t xml:space="preserve">  ↳ 새들</t>
        </is>
      </c>
      <c r="D795" s="162" t="inlineStr">
        <is>
          <t>16mm</t>
        </is>
      </c>
      <c r="E795" s="161" t="inlineStr">
        <is>
          <t>EA</t>
        </is>
      </c>
      <c r="F795" s="163" t="n">
        <v>16</v>
      </c>
      <c r="G795" s="162" t="inlineStr">
        <is>
          <t>23.4m÷1.5</t>
        </is>
      </c>
      <c r="H795" s="161" t="inlineStr">
        <is>
          <t>◆</t>
        </is>
      </c>
    </row>
    <row r="796" ht="14.25" customHeight="1" s="78">
      <c r="A796" s="158" t="inlineStr">
        <is>
          <t xml:space="preserve">  [5] ER5 (가스경보)</t>
        </is>
      </c>
      <c r="B796" s="174" t="n"/>
      <c r="C796" s="174" t="n"/>
      <c r="D796" s="174" t="n"/>
      <c r="E796" s="174" t="n"/>
      <c r="F796" s="174" t="n"/>
      <c r="G796" s="174" t="n"/>
      <c r="H796" s="175" t="n"/>
    </row>
    <row r="797">
      <c r="A797" s="148" t="n">
        <v>1</v>
      </c>
      <c r="B797" s="148" t="inlineStr">
        <is>
          <t>MAT</t>
        </is>
      </c>
      <c r="C797" s="149" t="inlineStr">
        <is>
          <t>강제전선관 (ST)</t>
        </is>
      </c>
      <c r="D797" s="149" t="inlineStr">
        <is>
          <t>16mm</t>
        </is>
      </c>
      <c r="E797" s="148" t="inlineStr">
        <is>
          <t>m</t>
        </is>
      </c>
      <c r="F797" s="160" t="n">
        <v>7.8</v>
      </c>
      <c r="G797" s="149" t="inlineStr">
        <is>
          <t>길이산출 7.8m</t>
        </is>
      </c>
      <c r="H797" s="148" t="inlineStr">
        <is>
          <t>◆</t>
        </is>
      </c>
    </row>
    <row r="798">
      <c r="A798" s="148" t="n">
        <v>2</v>
      </c>
      <c r="B798" s="148" t="inlineStr">
        <is>
          <t>MAT</t>
        </is>
      </c>
      <c r="C798" s="149" t="inlineStr">
        <is>
          <t>HFIX 내열비닐</t>
        </is>
      </c>
      <c r="D798" s="149" t="inlineStr">
        <is>
          <t>2.5㎟ 3C</t>
        </is>
      </c>
      <c r="E798" s="148" t="inlineStr">
        <is>
          <t>m</t>
        </is>
      </c>
      <c r="F798" s="160" t="n">
        <v>23.4</v>
      </c>
      <c r="G798" s="149" t="inlineStr">
        <is>
          <t>배관7.8m×가닥수</t>
        </is>
      </c>
      <c r="H798" s="148" t="inlineStr">
        <is>
          <t>◆</t>
        </is>
      </c>
    </row>
    <row r="799">
      <c r="A799" s="161" t="inlineStr"/>
      <c r="B799" s="161" t="inlineStr">
        <is>
          <t>ACC</t>
        </is>
      </c>
      <c r="C799" s="162" t="inlineStr">
        <is>
          <t xml:space="preserve">  ↳ 커플링</t>
        </is>
      </c>
      <c r="D799" s="162" t="inlineStr">
        <is>
          <t>16mm</t>
        </is>
      </c>
      <c r="E799" s="161" t="inlineStr">
        <is>
          <t>EA</t>
        </is>
      </c>
      <c r="F799" s="163" t="n">
        <v>3</v>
      </c>
      <c r="G799" s="162" t="inlineStr">
        <is>
          <t>7.8m÷3.6</t>
        </is>
      </c>
      <c r="H799" s="161" t="inlineStr">
        <is>
          <t>◆</t>
        </is>
      </c>
    </row>
    <row r="800">
      <c r="A800" s="161" t="inlineStr"/>
      <c r="B800" s="161" t="inlineStr">
        <is>
          <t>ACC</t>
        </is>
      </c>
      <c r="C800" s="162" t="inlineStr">
        <is>
          <t xml:space="preserve">  ↳ 커넥터</t>
        </is>
      </c>
      <c r="D800" s="162" t="inlineStr">
        <is>
          <t>16mm</t>
        </is>
      </c>
      <c r="E800" s="161" t="inlineStr">
        <is>
          <t>EA</t>
        </is>
      </c>
      <c r="F800" s="163" t="n">
        <v>2</v>
      </c>
      <c r="G800" s="162" t="inlineStr">
        <is>
          <t>양단 2개</t>
        </is>
      </c>
      <c r="H800" s="161" t="inlineStr">
        <is>
          <t>◆</t>
        </is>
      </c>
    </row>
    <row r="801">
      <c r="A801" s="161" t="inlineStr"/>
      <c r="B801" s="161" t="inlineStr">
        <is>
          <t>ACC</t>
        </is>
      </c>
      <c r="C801" s="162" t="inlineStr">
        <is>
          <t xml:space="preserve">  ↳ 부싱</t>
        </is>
      </c>
      <c r="D801" s="162" t="inlineStr">
        <is>
          <t>16mm</t>
        </is>
      </c>
      <c r="E801" s="161" t="inlineStr">
        <is>
          <t>EA</t>
        </is>
      </c>
      <c r="F801" s="163" t="n">
        <v>2</v>
      </c>
      <c r="G801" s="162">
        <f>커넥터수</f>
        <v/>
      </c>
      <c r="H801" s="161" t="inlineStr">
        <is>
          <t>◆</t>
        </is>
      </c>
    </row>
    <row r="802">
      <c r="A802" s="161" t="inlineStr"/>
      <c r="B802" s="161" t="inlineStr">
        <is>
          <t>ACC</t>
        </is>
      </c>
      <c r="C802" s="162" t="inlineStr">
        <is>
          <t xml:space="preserve">  ↳ 로크너트</t>
        </is>
      </c>
      <c r="D802" s="162" t="inlineStr">
        <is>
          <t>16mm</t>
        </is>
      </c>
      <c r="E802" s="161" t="inlineStr">
        <is>
          <t>EA</t>
        </is>
      </c>
      <c r="F802" s="163" t="n">
        <v>4</v>
      </c>
      <c r="G802" s="162">
        <f>커넥터×2</f>
        <v/>
      </c>
      <c r="H802" s="161" t="inlineStr">
        <is>
          <t>◆</t>
        </is>
      </c>
    </row>
    <row r="803">
      <c r="A803" s="161" t="inlineStr"/>
      <c r="B803" s="161" t="inlineStr">
        <is>
          <t>ACC</t>
        </is>
      </c>
      <c r="C803" s="162" t="inlineStr">
        <is>
          <t xml:space="preserve">  ↳ 새들</t>
        </is>
      </c>
      <c r="D803" s="162" t="inlineStr">
        <is>
          <t>16mm</t>
        </is>
      </c>
      <c r="E803" s="161" t="inlineStr">
        <is>
          <t>EA</t>
        </is>
      </c>
      <c r="F803" s="163" t="n">
        <v>6</v>
      </c>
      <c r="G803" s="162" t="inlineStr">
        <is>
          <t>7.8m÷1.5</t>
        </is>
      </c>
      <c r="H803" s="161" t="inlineStr">
        <is>
          <t>◆</t>
        </is>
      </c>
    </row>
    <row r="804" ht="14.25" customHeight="1" s="78">
      <c r="A804" s="158" t="inlineStr">
        <is>
          <t xml:space="preserve">  [6] EX1 (유도등)</t>
        </is>
      </c>
      <c r="B804" s="174" t="n"/>
      <c r="C804" s="174" t="n"/>
      <c r="D804" s="174" t="n"/>
      <c r="E804" s="174" t="n"/>
      <c r="F804" s="174" t="n"/>
      <c r="G804" s="174" t="n"/>
      <c r="H804" s="175" t="n"/>
    </row>
    <row r="805">
      <c r="A805" s="148" t="n">
        <v>1</v>
      </c>
      <c r="B805" s="148" t="inlineStr">
        <is>
          <t>MAT</t>
        </is>
      </c>
      <c r="C805" s="149" t="inlineStr">
        <is>
          <t>강제전선관 (ST)</t>
        </is>
      </c>
      <c r="D805" s="149" t="inlineStr">
        <is>
          <t>16mm</t>
        </is>
      </c>
      <c r="E805" s="148" t="inlineStr">
        <is>
          <t>m</t>
        </is>
      </c>
      <c r="F805" s="160" t="n">
        <v>19.5</v>
      </c>
      <c r="G805" s="149" t="inlineStr">
        <is>
          <t>길이산출 19.5m</t>
        </is>
      </c>
      <c r="H805" s="148" t="inlineStr">
        <is>
          <t>◆</t>
        </is>
      </c>
    </row>
    <row r="806">
      <c r="A806" s="148" t="n">
        <v>2</v>
      </c>
      <c r="B806" s="148" t="inlineStr">
        <is>
          <t>MAT</t>
        </is>
      </c>
      <c r="C806" s="149" t="inlineStr">
        <is>
          <t>HFIX 내열비닐</t>
        </is>
      </c>
      <c r="D806" s="149" t="inlineStr">
        <is>
          <t>2.5㎟ 3C</t>
        </is>
      </c>
      <c r="E806" s="148" t="inlineStr">
        <is>
          <t>m</t>
        </is>
      </c>
      <c r="F806" s="160" t="n">
        <v>58.5</v>
      </c>
      <c r="G806" s="149" t="inlineStr">
        <is>
          <t>배관19.5m×가닥수</t>
        </is>
      </c>
      <c r="H806" s="148" t="inlineStr">
        <is>
          <t>◆</t>
        </is>
      </c>
    </row>
    <row r="807">
      <c r="A807" s="161" t="inlineStr"/>
      <c r="B807" s="161" t="inlineStr">
        <is>
          <t>ACC</t>
        </is>
      </c>
      <c r="C807" s="162" t="inlineStr">
        <is>
          <t xml:space="preserve">  ↳ 커플링</t>
        </is>
      </c>
      <c r="D807" s="162" t="inlineStr">
        <is>
          <t>16mm</t>
        </is>
      </c>
      <c r="E807" s="161" t="inlineStr">
        <is>
          <t>EA</t>
        </is>
      </c>
      <c r="F807" s="163" t="n">
        <v>6</v>
      </c>
      <c r="G807" s="162" t="inlineStr">
        <is>
          <t>19.5m÷3.6</t>
        </is>
      </c>
      <c r="H807" s="161" t="inlineStr">
        <is>
          <t>◆</t>
        </is>
      </c>
    </row>
    <row r="808">
      <c r="A808" s="161" t="inlineStr"/>
      <c r="B808" s="161" t="inlineStr">
        <is>
          <t>ACC</t>
        </is>
      </c>
      <c r="C808" s="162" t="inlineStr">
        <is>
          <t xml:space="preserve">  ↳ 커넥터</t>
        </is>
      </c>
      <c r="D808" s="162" t="inlineStr">
        <is>
          <t>16mm</t>
        </is>
      </c>
      <c r="E808" s="161" t="inlineStr">
        <is>
          <t>EA</t>
        </is>
      </c>
      <c r="F808" s="163" t="n">
        <v>2</v>
      </c>
      <c r="G808" s="162" t="inlineStr">
        <is>
          <t>양단 2개</t>
        </is>
      </c>
      <c r="H808" s="161" t="inlineStr">
        <is>
          <t>◆</t>
        </is>
      </c>
    </row>
    <row r="809">
      <c r="A809" s="161" t="inlineStr"/>
      <c r="B809" s="161" t="inlineStr">
        <is>
          <t>ACC</t>
        </is>
      </c>
      <c r="C809" s="162" t="inlineStr">
        <is>
          <t xml:space="preserve">  ↳ 부싱</t>
        </is>
      </c>
      <c r="D809" s="162" t="inlineStr">
        <is>
          <t>16mm</t>
        </is>
      </c>
      <c r="E809" s="161" t="inlineStr">
        <is>
          <t>EA</t>
        </is>
      </c>
      <c r="F809" s="163" t="n">
        <v>2</v>
      </c>
      <c r="G809" s="162">
        <f>커넥터수</f>
        <v/>
      </c>
      <c r="H809" s="161" t="inlineStr">
        <is>
          <t>◆</t>
        </is>
      </c>
    </row>
    <row r="810">
      <c r="A810" s="161" t="inlineStr"/>
      <c r="B810" s="161" t="inlineStr">
        <is>
          <t>ACC</t>
        </is>
      </c>
      <c r="C810" s="162" t="inlineStr">
        <is>
          <t xml:space="preserve">  ↳ 로크너트</t>
        </is>
      </c>
      <c r="D810" s="162" t="inlineStr">
        <is>
          <t>16mm</t>
        </is>
      </c>
      <c r="E810" s="161" t="inlineStr">
        <is>
          <t>EA</t>
        </is>
      </c>
      <c r="F810" s="163" t="n">
        <v>4</v>
      </c>
      <c r="G810" s="162">
        <f>커넥터×2</f>
        <v/>
      </c>
      <c r="H810" s="161" t="inlineStr">
        <is>
          <t>◆</t>
        </is>
      </c>
    </row>
    <row r="811">
      <c r="A811" s="161" t="inlineStr"/>
      <c r="B811" s="161" t="inlineStr">
        <is>
          <t>ACC</t>
        </is>
      </c>
      <c r="C811" s="162" t="inlineStr">
        <is>
          <t xml:space="preserve">  ↳ 새들</t>
        </is>
      </c>
      <c r="D811" s="162" t="inlineStr">
        <is>
          <t>16mm</t>
        </is>
      </c>
      <c r="E811" s="161" t="inlineStr">
        <is>
          <t>EA</t>
        </is>
      </c>
      <c r="F811" s="163" t="n">
        <v>13</v>
      </c>
      <c r="G811" s="162" t="inlineStr">
        <is>
          <t>19.5m÷1.5</t>
        </is>
      </c>
      <c r="H811" s="161" t="inlineStr">
        <is>
          <t>◆</t>
        </is>
      </c>
    </row>
    <row r="812" ht="14.25" customHeight="1" s="78">
      <c r="A812" s="158" t="inlineStr">
        <is>
          <t xml:space="preserve">  [8] ET1 (1층 화장실 온수기)</t>
        </is>
      </c>
      <c r="B812" s="174" t="n"/>
      <c r="C812" s="174" t="n"/>
      <c r="D812" s="174" t="n"/>
      <c r="E812" s="174" t="n"/>
      <c r="F812" s="174" t="n"/>
      <c r="G812" s="174" t="n"/>
      <c r="H812" s="175" t="n"/>
    </row>
    <row r="813">
      <c r="A813" s="148" t="n">
        <v>1</v>
      </c>
      <c r="B813" s="148" t="inlineStr">
        <is>
          <t>MAT</t>
        </is>
      </c>
      <c r="C813" s="149" t="inlineStr">
        <is>
          <t>강제전선관 (ST)</t>
        </is>
      </c>
      <c r="D813" s="149" t="inlineStr">
        <is>
          <t>22mm</t>
        </is>
      </c>
      <c r="E813" s="148" t="inlineStr">
        <is>
          <t>m</t>
        </is>
      </c>
      <c r="F813" s="160" t="n">
        <v>18.2</v>
      </c>
      <c r="G813" s="149" t="inlineStr">
        <is>
          <t>길이산출 18.2m</t>
        </is>
      </c>
      <c r="H813" s="148" t="inlineStr">
        <is>
          <t>◆</t>
        </is>
      </c>
    </row>
    <row r="814">
      <c r="A814" s="148" t="n">
        <v>2</v>
      </c>
      <c r="B814" s="148" t="inlineStr">
        <is>
          <t>MAT</t>
        </is>
      </c>
      <c r="C814" s="149" t="inlineStr">
        <is>
          <t>HFIX 내열비닐</t>
        </is>
      </c>
      <c r="D814" s="149" t="inlineStr">
        <is>
          <t>4㎟ 3C</t>
        </is>
      </c>
      <c r="E814" s="148" t="inlineStr">
        <is>
          <t>m</t>
        </is>
      </c>
      <c r="F814" s="160" t="n">
        <v>54.6</v>
      </c>
      <c r="G814" s="149" t="inlineStr">
        <is>
          <t>배관18.2m×가닥수</t>
        </is>
      </c>
      <c r="H814" s="148" t="inlineStr">
        <is>
          <t>◆</t>
        </is>
      </c>
    </row>
    <row r="815">
      <c r="A815" s="161" t="inlineStr"/>
      <c r="B815" s="161" t="inlineStr">
        <is>
          <t>ACC</t>
        </is>
      </c>
      <c r="C815" s="162" t="inlineStr">
        <is>
          <t xml:space="preserve">  ↳ 커플링</t>
        </is>
      </c>
      <c r="D815" s="162" t="inlineStr">
        <is>
          <t>22mm</t>
        </is>
      </c>
      <c r="E815" s="161" t="inlineStr">
        <is>
          <t>EA</t>
        </is>
      </c>
      <c r="F815" s="163" t="n">
        <v>6</v>
      </c>
      <c r="G815" s="162" t="inlineStr">
        <is>
          <t>18.2m÷3.6</t>
        </is>
      </c>
      <c r="H815" s="161" t="inlineStr">
        <is>
          <t>◆</t>
        </is>
      </c>
    </row>
    <row r="816">
      <c r="A816" s="161" t="inlineStr"/>
      <c r="B816" s="161" t="inlineStr">
        <is>
          <t>ACC</t>
        </is>
      </c>
      <c r="C816" s="162" t="inlineStr">
        <is>
          <t xml:space="preserve">  ↳ 커넥터</t>
        </is>
      </c>
      <c r="D816" s="162" t="inlineStr">
        <is>
          <t>22mm</t>
        </is>
      </c>
      <c r="E816" s="161" t="inlineStr">
        <is>
          <t>EA</t>
        </is>
      </c>
      <c r="F816" s="163" t="n">
        <v>2</v>
      </c>
      <c r="G816" s="162" t="inlineStr">
        <is>
          <t>양단 2개</t>
        </is>
      </c>
      <c r="H816" s="161" t="inlineStr">
        <is>
          <t>◆</t>
        </is>
      </c>
    </row>
    <row r="817">
      <c r="A817" s="161" t="inlineStr"/>
      <c r="B817" s="161" t="inlineStr">
        <is>
          <t>ACC</t>
        </is>
      </c>
      <c r="C817" s="162" t="inlineStr">
        <is>
          <t xml:space="preserve">  ↳ 부싱</t>
        </is>
      </c>
      <c r="D817" s="162" t="inlineStr">
        <is>
          <t>22mm</t>
        </is>
      </c>
      <c r="E817" s="161" t="inlineStr">
        <is>
          <t>EA</t>
        </is>
      </c>
      <c r="F817" s="163" t="n">
        <v>2</v>
      </c>
      <c r="G817" s="162">
        <f>커넥터수</f>
        <v/>
      </c>
      <c r="H817" s="161" t="inlineStr">
        <is>
          <t>◆</t>
        </is>
      </c>
    </row>
    <row r="818">
      <c r="A818" s="161" t="inlineStr"/>
      <c r="B818" s="161" t="inlineStr">
        <is>
          <t>ACC</t>
        </is>
      </c>
      <c r="C818" s="162" t="inlineStr">
        <is>
          <t xml:space="preserve">  ↳ 로크너트</t>
        </is>
      </c>
      <c r="D818" s="162" t="inlineStr">
        <is>
          <t>22mm</t>
        </is>
      </c>
      <c r="E818" s="161" t="inlineStr">
        <is>
          <t>EA</t>
        </is>
      </c>
      <c r="F818" s="163" t="n">
        <v>4</v>
      </c>
      <c r="G818" s="162">
        <f>커넥터×2</f>
        <v/>
      </c>
      <c r="H818" s="161" t="inlineStr">
        <is>
          <t>◆</t>
        </is>
      </c>
    </row>
    <row r="819">
      <c r="A819" s="161" t="inlineStr"/>
      <c r="B819" s="161" t="inlineStr">
        <is>
          <t>ACC</t>
        </is>
      </c>
      <c r="C819" s="162" t="inlineStr">
        <is>
          <t xml:space="preserve">  ↳ 새들</t>
        </is>
      </c>
      <c r="D819" s="162" t="inlineStr">
        <is>
          <t>22mm</t>
        </is>
      </c>
      <c r="E819" s="161" t="inlineStr">
        <is>
          <t>EA</t>
        </is>
      </c>
      <c r="F819" s="163" t="n">
        <v>13</v>
      </c>
      <c r="G819" s="162" t="inlineStr">
        <is>
          <t>18.2m÷1.5</t>
        </is>
      </c>
      <c r="H819" s="161" t="inlineStr">
        <is>
          <t>◆</t>
        </is>
      </c>
    </row>
    <row r="820" ht="14.25" customHeight="1" s="78">
      <c r="A820" s="158" t="inlineStr">
        <is>
          <t xml:space="preserve">  [9] EH1 (1층 화장실 히터)</t>
        </is>
      </c>
      <c r="B820" s="174" t="n"/>
      <c r="C820" s="174" t="n"/>
      <c r="D820" s="174" t="n"/>
      <c r="E820" s="174" t="n"/>
      <c r="F820" s="174" t="n"/>
      <c r="G820" s="174" t="n"/>
      <c r="H820" s="175" t="n"/>
    </row>
    <row r="821">
      <c r="A821" s="148" t="n">
        <v>1</v>
      </c>
      <c r="B821" s="148" t="inlineStr">
        <is>
          <t>MAT</t>
        </is>
      </c>
      <c r="C821" s="149" t="inlineStr">
        <is>
          <t>강제전선관 (ST)</t>
        </is>
      </c>
      <c r="D821" s="149" t="inlineStr">
        <is>
          <t>22mm</t>
        </is>
      </c>
      <c r="E821" s="148" t="inlineStr">
        <is>
          <t>m</t>
        </is>
      </c>
      <c r="F821" s="160" t="n">
        <v>18.2</v>
      </c>
      <c r="G821" s="149" t="inlineStr">
        <is>
          <t>길이산출 18.2m</t>
        </is>
      </c>
      <c r="H821" s="148" t="inlineStr">
        <is>
          <t>◆</t>
        </is>
      </c>
    </row>
    <row r="822">
      <c r="A822" s="148" t="n">
        <v>2</v>
      </c>
      <c r="B822" s="148" t="inlineStr">
        <is>
          <t>MAT</t>
        </is>
      </c>
      <c r="C822" s="149" t="inlineStr">
        <is>
          <t>HFIX 내열비닐</t>
        </is>
      </c>
      <c r="D822" s="149" t="inlineStr">
        <is>
          <t>4㎟ 3C</t>
        </is>
      </c>
      <c r="E822" s="148" t="inlineStr">
        <is>
          <t>m</t>
        </is>
      </c>
      <c r="F822" s="160" t="n">
        <v>54.6</v>
      </c>
      <c r="G822" s="149" t="inlineStr">
        <is>
          <t>배관18.2m×가닥수</t>
        </is>
      </c>
      <c r="H822" s="148" t="inlineStr">
        <is>
          <t>◆</t>
        </is>
      </c>
    </row>
    <row r="823">
      <c r="A823" s="161" t="inlineStr"/>
      <c r="B823" s="161" t="inlineStr">
        <is>
          <t>ACC</t>
        </is>
      </c>
      <c r="C823" s="162" t="inlineStr">
        <is>
          <t xml:space="preserve">  ↳ 커플링</t>
        </is>
      </c>
      <c r="D823" s="162" t="inlineStr">
        <is>
          <t>22mm</t>
        </is>
      </c>
      <c r="E823" s="161" t="inlineStr">
        <is>
          <t>EA</t>
        </is>
      </c>
      <c r="F823" s="163" t="n">
        <v>6</v>
      </c>
      <c r="G823" s="162" t="inlineStr">
        <is>
          <t>18.2m÷3.6</t>
        </is>
      </c>
      <c r="H823" s="161" t="inlineStr">
        <is>
          <t>◆</t>
        </is>
      </c>
    </row>
    <row r="824">
      <c r="A824" s="161" t="inlineStr"/>
      <c r="B824" s="161" t="inlineStr">
        <is>
          <t>ACC</t>
        </is>
      </c>
      <c r="C824" s="162" t="inlineStr">
        <is>
          <t xml:space="preserve">  ↳ 커넥터</t>
        </is>
      </c>
      <c r="D824" s="162" t="inlineStr">
        <is>
          <t>22mm</t>
        </is>
      </c>
      <c r="E824" s="161" t="inlineStr">
        <is>
          <t>EA</t>
        </is>
      </c>
      <c r="F824" s="163" t="n">
        <v>2</v>
      </c>
      <c r="G824" s="162" t="inlineStr">
        <is>
          <t>양단 2개</t>
        </is>
      </c>
      <c r="H824" s="161" t="inlineStr">
        <is>
          <t>◆</t>
        </is>
      </c>
    </row>
    <row r="825">
      <c r="A825" s="161" t="inlineStr"/>
      <c r="B825" s="161" t="inlineStr">
        <is>
          <t>ACC</t>
        </is>
      </c>
      <c r="C825" s="162" t="inlineStr">
        <is>
          <t xml:space="preserve">  ↳ 부싱</t>
        </is>
      </c>
      <c r="D825" s="162" t="inlineStr">
        <is>
          <t>22mm</t>
        </is>
      </c>
      <c r="E825" s="161" t="inlineStr">
        <is>
          <t>EA</t>
        </is>
      </c>
      <c r="F825" s="163" t="n">
        <v>2</v>
      </c>
      <c r="G825" s="162">
        <f>커넥터수</f>
        <v/>
      </c>
      <c r="H825" s="161" t="inlineStr">
        <is>
          <t>◆</t>
        </is>
      </c>
    </row>
    <row r="826">
      <c r="A826" s="161" t="inlineStr"/>
      <c r="B826" s="161" t="inlineStr">
        <is>
          <t>ACC</t>
        </is>
      </c>
      <c r="C826" s="162" t="inlineStr">
        <is>
          <t xml:space="preserve">  ↳ 로크너트</t>
        </is>
      </c>
      <c r="D826" s="162" t="inlineStr">
        <is>
          <t>22mm</t>
        </is>
      </c>
      <c r="E826" s="161" t="inlineStr">
        <is>
          <t>EA</t>
        </is>
      </c>
      <c r="F826" s="163" t="n">
        <v>4</v>
      </c>
      <c r="G826" s="162">
        <f>커넥터×2</f>
        <v/>
      </c>
      <c r="H826" s="161" t="inlineStr">
        <is>
          <t>◆</t>
        </is>
      </c>
    </row>
    <row r="827">
      <c r="A827" s="161" t="inlineStr"/>
      <c r="B827" s="161" t="inlineStr">
        <is>
          <t>ACC</t>
        </is>
      </c>
      <c r="C827" s="162" t="inlineStr">
        <is>
          <t xml:space="preserve">  ↳ 새들</t>
        </is>
      </c>
      <c r="D827" s="162" t="inlineStr">
        <is>
          <t>22mm</t>
        </is>
      </c>
      <c r="E827" s="161" t="inlineStr">
        <is>
          <t>EA</t>
        </is>
      </c>
      <c r="F827" s="163" t="n">
        <v>13</v>
      </c>
      <c r="G827" s="162" t="inlineStr">
        <is>
          <t>18.2m÷1.5</t>
        </is>
      </c>
      <c r="H827" s="161" t="inlineStr">
        <is>
          <t>◆</t>
        </is>
      </c>
    </row>
    <row r="828" ht="14.25" customHeight="1" s="78">
      <c r="A828" s="158" t="inlineStr">
        <is>
          <t xml:space="preserve">  [10] A4 (에어커튼)</t>
        </is>
      </c>
      <c r="B828" s="174" t="n"/>
      <c r="C828" s="174" t="n"/>
      <c r="D828" s="174" t="n"/>
      <c r="E828" s="174" t="n"/>
      <c r="F828" s="174" t="n"/>
      <c r="G828" s="174" t="n"/>
      <c r="H828" s="175" t="n"/>
    </row>
    <row r="829">
      <c r="A829" s="148" t="n">
        <v>1</v>
      </c>
      <c r="B829" s="148" t="inlineStr">
        <is>
          <t>MAT</t>
        </is>
      </c>
      <c r="C829" s="149" t="inlineStr">
        <is>
          <t>강제전선관 (ST)</t>
        </is>
      </c>
      <c r="D829" s="149" t="inlineStr">
        <is>
          <t>22mm</t>
        </is>
      </c>
      <c r="E829" s="148" t="inlineStr">
        <is>
          <t>m</t>
        </is>
      </c>
      <c r="F829" s="160" t="n">
        <v>19.5</v>
      </c>
      <c r="G829" s="149" t="inlineStr">
        <is>
          <t>길이산출 19.5m</t>
        </is>
      </c>
      <c r="H829" s="148" t="inlineStr">
        <is>
          <t>◆</t>
        </is>
      </c>
    </row>
    <row r="830">
      <c r="A830" s="148" t="n">
        <v>2</v>
      </c>
      <c r="B830" s="148" t="inlineStr">
        <is>
          <t>MAT</t>
        </is>
      </c>
      <c r="C830" s="149" t="inlineStr">
        <is>
          <t>HFIX 내열비닐</t>
        </is>
      </c>
      <c r="D830" s="149" t="inlineStr">
        <is>
          <t>4㎟ 3C</t>
        </is>
      </c>
      <c r="E830" s="148" t="inlineStr">
        <is>
          <t>m</t>
        </is>
      </c>
      <c r="F830" s="160" t="n">
        <v>58.5</v>
      </c>
      <c r="G830" s="149" t="inlineStr">
        <is>
          <t>배관19.5m×가닥수</t>
        </is>
      </c>
      <c r="H830" s="148" t="inlineStr">
        <is>
          <t>◆</t>
        </is>
      </c>
    </row>
    <row r="831">
      <c r="A831" s="161" t="inlineStr"/>
      <c r="B831" s="161" t="inlineStr">
        <is>
          <t>ACC</t>
        </is>
      </c>
      <c r="C831" s="162" t="inlineStr">
        <is>
          <t xml:space="preserve">  ↳ 커플링</t>
        </is>
      </c>
      <c r="D831" s="162" t="inlineStr">
        <is>
          <t>22mm</t>
        </is>
      </c>
      <c r="E831" s="161" t="inlineStr">
        <is>
          <t>EA</t>
        </is>
      </c>
      <c r="F831" s="163" t="n">
        <v>6</v>
      </c>
      <c r="G831" s="162" t="inlineStr">
        <is>
          <t>19.5m÷3.6</t>
        </is>
      </c>
      <c r="H831" s="161" t="inlineStr">
        <is>
          <t>◆</t>
        </is>
      </c>
    </row>
    <row r="832">
      <c r="A832" s="161" t="inlineStr"/>
      <c r="B832" s="161" t="inlineStr">
        <is>
          <t>ACC</t>
        </is>
      </c>
      <c r="C832" s="162" t="inlineStr">
        <is>
          <t xml:space="preserve">  ↳ 커넥터</t>
        </is>
      </c>
      <c r="D832" s="162" t="inlineStr">
        <is>
          <t>22mm</t>
        </is>
      </c>
      <c r="E832" s="161" t="inlineStr">
        <is>
          <t>EA</t>
        </is>
      </c>
      <c r="F832" s="163" t="n">
        <v>2</v>
      </c>
      <c r="G832" s="162" t="inlineStr">
        <is>
          <t>양단 2개</t>
        </is>
      </c>
      <c r="H832" s="161" t="inlineStr">
        <is>
          <t>◆</t>
        </is>
      </c>
    </row>
    <row r="833">
      <c r="A833" s="161" t="inlineStr"/>
      <c r="B833" s="161" t="inlineStr">
        <is>
          <t>ACC</t>
        </is>
      </c>
      <c r="C833" s="162" t="inlineStr">
        <is>
          <t xml:space="preserve">  ↳ 부싱</t>
        </is>
      </c>
      <c r="D833" s="162" t="inlineStr">
        <is>
          <t>22mm</t>
        </is>
      </c>
      <c r="E833" s="161" t="inlineStr">
        <is>
          <t>EA</t>
        </is>
      </c>
      <c r="F833" s="163" t="n">
        <v>2</v>
      </c>
      <c r="G833" s="162">
        <f>커넥터수</f>
        <v/>
      </c>
      <c r="H833" s="161" t="inlineStr">
        <is>
          <t>◆</t>
        </is>
      </c>
    </row>
    <row r="834">
      <c r="A834" s="161" t="inlineStr"/>
      <c r="B834" s="161" t="inlineStr">
        <is>
          <t>ACC</t>
        </is>
      </c>
      <c r="C834" s="162" t="inlineStr">
        <is>
          <t xml:space="preserve">  ↳ 로크너트</t>
        </is>
      </c>
      <c r="D834" s="162" t="inlineStr">
        <is>
          <t>22mm</t>
        </is>
      </c>
      <c r="E834" s="161" t="inlineStr">
        <is>
          <t>EA</t>
        </is>
      </c>
      <c r="F834" s="163" t="n">
        <v>4</v>
      </c>
      <c r="G834" s="162">
        <f>커넥터×2</f>
        <v/>
      </c>
      <c r="H834" s="161" t="inlineStr">
        <is>
          <t>◆</t>
        </is>
      </c>
    </row>
    <row r="835">
      <c r="A835" s="161" t="inlineStr"/>
      <c r="B835" s="161" t="inlineStr">
        <is>
          <t>ACC</t>
        </is>
      </c>
      <c r="C835" s="162" t="inlineStr">
        <is>
          <t xml:space="preserve">  ↳ 새들</t>
        </is>
      </c>
      <c r="D835" s="162" t="inlineStr">
        <is>
          <t>22mm</t>
        </is>
      </c>
      <c r="E835" s="161" t="inlineStr">
        <is>
          <t>EA</t>
        </is>
      </c>
      <c r="F835" s="163" t="n">
        <v>13</v>
      </c>
      <c r="G835" s="162" t="inlineStr">
        <is>
          <t>19.5m÷1.5</t>
        </is>
      </c>
      <c r="H835" s="161" t="inlineStr">
        <is>
          <t>◆</t>
        </is>
      </c>
    </row>
    <row r="836" ht="14.25" customHeight="1" s="78">
      <c r="A836" s="158" t="inlineStr">
        <is>
          <t xml:space="preserve">  [11] ER1 (매니저룸 (CCTV 모니터))</t>
        </is>
      </c>
      <c r="B836" s="174" t="n"/>
      <c r="C836" s="174" t="n"/>
      <c r="D836" s="174" t="n"/>
      <c r="E836" s="174" t="n"/>
      <c r="F836" s="174" t="n"/>
      <c r="G836" s="174" t="n"/>
      <c r="H836" s="175" t="n"/>
    </row>
    <row r="837">
      <c r="A837" s="148" t="n">
        <v>1</v>
      </c>
      <c r="B837" s="148" t="inlineStr">
        <is>
          <t>MAT</t>
        </is>
      </c>
      <c r="C837" s="149" t="inlineStr">
        <is>
          <t>강제전선관 (ST)</t>
        </is>
      </c>
      <c r="D837" s="149" t="inlineStr">
        <is>
          <t>16mm</t>
        </is>
      </c>
      <c r="E837" s="148" t="inlineStr">
        <is>
          <t>m</t>
        </is>
      </c>
      <c r="F837" s="160" t="n">
        <v>7.8</v>
      </c>
      <c r="G837" s="149" t="inlineStr">
        <is>
          <t>길이산출 7.8m</t>
        </is>
      </c>
      <c r="H837" s="148" t="inlineStr">
        <is>
          <t>◆</t>
        </is>
      </c>
    </row>
    <row r="838">
      <c r="A838" s="148" t="n">
        <v>2</v>
      </c>
      <c r="B838" s="148" t="inlineStr">
        <is>
          <t>MAT</t>
        </is>
      </c>
      <c r="C838" s="149" t="inlineStr">
        <is>
          <t>HFIX 내열비닐</t>
        </is>
      </c>
      <c r="D838" s="149" t="inlineStr">
        <is>
          <t>2.5㎟ 3C</t>
        </is>
      </c>
      <c r="E838" s="148" t="inlineStr">
        <is>
          <t>m</t>
        </is>
      </c>
      <c r="F838" s="160" t="n">
        <v>23.4</v>
      </c>
      <c r="G838" s="149" t="inlineStr">
        <is>
          <t>배관7.8m×가닥수</t>
        </is>
      </c>
      <c r="H838" s="148" t="inlineStr">
        <is>
          <t>◆</t>
        </is>
      </c>
    </row>
    <row r="839">
      <c r="A839" s="161" t="inlineStr"/>
      <c r="B839" s="161" t="inlineStr">
        <is>
          <t>ACC</t>
        </is>
      </c>
      <c r="C839" s="162" t="inlineStr">
        <is>
          <t xml:space="preserve">  ↳ 커플링</t>
        </is>
      </c>
      <c r="D839" s="162" t="inlineStr">
        <is>
          <t>16mm</t>
        </is>
      </c>
      <c r="E839" s="161" t="inlineStr">
        <is>
          <t>EA</t>
        </is>
      </c>
      <c r="F839" s="163" t="n">
        <v>3</v>
      </c>
      <c r="G839" s="162" t="inlineStr">
        <is>
          <t>7.8m÷3.6</t>
        </is>
      </c>
      <c r="H839" s="161" t="inlineStr">
        <is>
          <t>◆</t>
        </is>
      </c>
    </row>
    <row r="840">
      <c r="A840" s="161" t="inlineStr"/>
      <c r="B840" s="161" t="inlineStr">
        <is>
          <t>ACC</t>
        </is>
      </c>
      <c r="C840" s="162" t="inlineStr">
        <is>
          <t xml:space="preserve">  ↳ 커넥터</t>
        </is>
      </c>
      <c r="D840" s="162" t="inlineStr">
        <is>
          <t>16mm</t>
        </is>
      </c>
      <c r="E840" s="161" t="inlineStr">
        <is>
          <t>EA</t>
        </is>
      </c>
      <c r="F840" s="163" t="n">
        <v>2</v>
      </c>
      <c r="G840" s="162" t="inlineStr">
        <is>
          <t>양단 2개</t>
        </is>
      </c>
      <c r="H840" s="161" t="inlineStr">
        <is>
          <t>◆</t>
        </is>
      </c>
    </row>
    <row r="841">
      <c r="A841" s="161" t="inlineStr"/>
      <c r="B841" s="161" t="inlineStr">
        <is>
          <t>ACC</t>
        </is>
      </c>
      <c r="C841" s="162" t="inlineStr">
        <is>
          <t xml:space="preserve">  ↳ 부싱</t>
        </is>
      </c>
      <c r="D841" s="162" t="inlineStr">
        <is>
          <t>16mm</t>
        </is>
      </c>
      <c r="E841" s="161" t="inlineStr">
        <is>
          <t>EA</t>
        </is>
      </c>
      <c r="F841" s="163" t="n">
        <v>2</v>
      </c>
      <c r="G841" s="162">
        <f>커넥터수</f>
        <v/>
      </c>
      <c r="H841" s="161" t="inlineStr">
        <is>
          <t>◆</t>
        </is>
      </c>
    </row>
    <row r="842">
      <c r="A842" s="161" t="inlineStr"/>
      <c r="B842" s="161" t="inlineStr">
        <is>
          <t>ACC</t>
        </is>
      </c>
      <c r="C842" s="162" t="inlineStr">
        <is>
          <t xml:space="preserve">  ↳ 로크너트</t>
        </is>
      </c>
      <c r="D842" s="162" t="inlineStr">
        <is>
          <t>16mm</t>
        </is>
      </c>
      <c r="E842" s="161" t="inlineStr">
        <is>
          <t>EA</t>
        </is>
      </c>
      <c r="F842" s="163" t="n">
        <v>4</v>
      </c>
      <c r="G842" s="162">
        <f>커넥터×2</f>
        <v/>
      </c>
      <c r="H842" s="161" t="inlineStr">
        <is>
          <t>◆</t>
        </is>
      </c>
    </row>
    <row r="843">
      <c r="A843" s="161" t="inlineStr"/>
      <c r="B843" s="161" t="inlineStr">
        <is>
          <t>ACC</t>
        </is>
      </c>
      <c r="C843" s="162" t="inlineStr">
        <is>
          <t xml:space="preserve">  ↳ 새들</t>
        </is>
      </c>
      <c r="D843" s="162" t="inlineStr">
        <is>
          <t>16mm</t>
        </is>
      </c>
      <c r="E843" s="161" t="inlineStr">
        <is>
          <t>EA</t>
        </is>
      </c>
      <c r="F843" s="163" t="n">
        <v>6</v>
      </c>
      <c r="G843" s="162" t="inlineStr">
        <is>
          <t>7.8m÷1.5</t>
        </is>
      </c>
      <c r="H843" s="161" t="inlineStr">
        <is>
          <t>◆</t>
        </is>
      </c>
    </row>
    <row r="844" ht="14.25" customHeight="1" s="78">
      <c r="A844" s="158" t="inlineStr">
        <is>
          <t xml:space="preserve">  [12] ER4 (매니저룸)</t>
        </is>
      </c>
      <c r="B844" s="174" t="n"/>
      <c r="C844" s="174" t="n"/>
      <c r="D844" s="174" t="n"/>
      <c r="E844" s="174" t="n"/>
      <c r="F844" s="174" t="n"/>
      <c r="G844" s="174" t="n"/>
      <c r="H844" s="175" t="n"/>
    </row>
    <row r="845">
      <c r="A845" s="148" t="n">
        <v>1</v>
      </c>
      <c r="B845" s="148" t="inlineStr">
        <is>
          <t>MAT</t>
        </is>
      </c>
      <c r="C845" s="149" t="inlineStr">
        <is>
          <t>강제전선관 (ST)</t>
        </is>
      </c>
      <c r="D845" s="149" t="inlineStr">
        <is>
          <t>16mm</t>
        </is>
      </c>
      <c r="E845" s="148" t="inlineStr">
        <is>
          <t>m</t>
        </is>
      </c>
      <c r="F845" s="160" t="n">
        <v>7.8</v>
      </c>
      <c r="G845" s="149" t="inlineStr">
        <is>
          <t>길이산출 7.8m</t>
        </is>
      </c>
      <c r="H845" s="148" t="inlineStr">
        <is>
          <t>◆</t>
        </is>
      </c>
    </row>
    <row r="846">
      <c r="A846" s="148" t="n">
        <v>2</v>
      </c>
      <c r="B846" s="148" t="inlineStr">
        <is>
          <t>MAT</t>
        </is>
      </c>
      <c r="C846" s="149" t="inlineStr">
        <is>
          <t>HFIX 내열비닐</t>
        </is>
      </c>
      <c r="D846" s="149" t="inlineStr">
        <is>
          <t>2.5㎟ 3C</t>
        </is>
      </c>
      <c r="E846" s="148" t="inlineStr">
        <is>
          <t>m</t>
        </is>
      </c>
      <c r="F846" s="160" t="n">
        <v>23.4</v>
      </c>
      <c r="G846" s="149" t="inlineStr">
        <is>
          <t>배관7.8m×가닥수</t>
        </is>
      </c>
      <c r="H846" s="148" t="inlineStr">
        <is>
          <t>◆</t>
        </is>
      </c>
    </row>
    <row r="847">
      <c r="A847" s="161" t="inlineStr"/>
      <c r="B847" s="161" t="inlineStr">
        <is>
          <t>ACC</t>
        </is>
      </c>
      <c r="C847" s="162" t="inlineStr">
        <is>
          <t xml:space="preserve">  ↳ 커플링</t>
        </is>
      </c>
      <c r="D847" s="162" t="inlineStr">
        <is>
          <t>16mm</t>
        </is>
      </c>
      <c r="E847" s="161" t="inlineStr">
        <is>
          <t>EA</t>
        </is>
      </c>
      <c r="F847" s="163" t="n">
        <v>3</v>
      </c>
      <c r="G847" s="162" t="inlineStr">
        <is>
          <t>7.8m÷3.6</t>
        </is>
      </c>
      <c r="H847" s="161" t="inlineStr">
        <is>
          <t>◆</t>
        </is>
      </c>
    </row>
    <row r="848">
      <c r="A848" s="161" t="inlineStr"/>
      <c r="B848" s="161" t="inlineStr">
        <is>
          <t>ACC</t>
        </is>
      </c>
      <c r="C848" s="162" t="inlineStr">
        <is>
          <t xml:space="preserve">  ↳ 커넥터</t>
        </is>
      </c>
      <c r="D848" s="162" t="inlineStr">
        <is>
          <t>16mm</t>
        </is>
      </c>
      <c r="E848" s="161" t="inlineStr">
        <is>
          <t>EA</t>
        </is>
      </c>
      <c r="F848" s="163" t="n">
        <v>2</v>
      </c>
      <c r="G848" s="162" t="inlineStr">
        <is>
          <t>양단 2개</t>
        </is>
      </c>
      <c r="H848" s="161" t="inlineStr">
        <is>
          <t>◆</t>
        </is>
      </c>
    </row>
    <row r="849">
      <c r="A849" s="161" t="inlineStr"/>
      <c r="B849" s="161" t="inlineStr">
        <is>
          <t>ACC</t>
        </is>
      </c>
      <c r="C849" s="162" t="inlineStr">
        <is>
          <t xml:space="preserve">  ↳ 부싱</t>
        </is>
      </c>
      <c r="D849" s="162" t="inlineStr">
        <is>
          <t>16mm</t>
        </is>
      </c>
      <c r="E849" s="161" t="inlineStr">
        <is>
          <t>EA</t>
        </is>
      </c>
      <c r="F849" s="163" t="n">
        <v>2</v>
      </c>
      <c r="G849" s="162">
        <f>커넥터수</f>
        <v/>
      </c>
      <c r="H849" s="161" t="inlineStr">
        <is>
          <t>◆</t>
        </is>
      </c>
    </row>
    <row r="850">
      <c r="A850" s="161" t="inlineStr"/>
      <c r="B850" s="161" t="inlineStr">
        <is>
          <t>ACC</t>
        </is>
      </c>
      <c r="C850" s="162" t="inlineStr">
        <is>
          <t xml:space="preserve">  ↳ 로크너트</t>
        </is>
      </c>
      <c r="D850" s="162" t="inlineStr">
        <is>
          <t>16mm</t>
        </is>
      </c>
      <c r="E850" s="161" t="inlineStr">
        <is>
          <t>EA</t>
        </is>
      </c>
      <c r="F850" s="163" t="n">
        <v>4</v>
      </c>
      <c r="G850" s="162">
        <f>커넥터×2</f>
        <v/>
      </c>
      <c r="H850" s="161" t="inlineStr">
        <is>
          <t>◆</t>
        </is>
      </c>
    </row>
    <row r="851">
      <c r="A851" s="161" t="inlineStr"/>
      <c r="B851" s="161" t="inlineStr">
        <is>
          <t>ACC</t>
        </is>
      </c>
      <c r="C851" s="162" t="inlineStr">
        <is>
          <t xml:space="preserve">  ↳ 새들</t>
        </is>
      </c>
      <c r="D851" s="162" t="inlineStr">
        <is>
          <t>16mm</t>
        </is>
      </c>
      <c r="E851" s="161" t="inlineStr">
        <is>
          <t>EA</t>
        </is>
      </c>
      <c r="F851" s="163" t="n">
        <v>6</v>
      </c>
      <c r="G851" s="162" t="inlineStr">
        <is>
          <t>7.8m÷1.5</t>
        </is>
      </c>
      <c r="H851" s="161" t="inlineStr">
        <is>
          <t>◆</t>
        </is>
      </c>
    </row>
    <row r="852" ht="14.25" customHeight="1" s="78">
      <c r="A852" s="158" t="inlineStr">
        <is>
          <t xml:space="preserve">  [13] F1 (자동확산소화기)</t>
        </is>
      </c>
      <c r="B852" s="174" t="n"/>
      <c r="C852" s="174" t="n"/>
      <c r="D852" s="174" t="n"/>
      <c r="E852" s="174" t="n"/>
      <c r="F852" s="174" t="n"/>
      <c r="G852" s="174" t="n"/>
      <c r="H852" s="175" t="n"/>
    </row>
    <row r="853">
      <c r="A853" s="148" t="n">
        <v>1</v>
      </c>
      <c r="B853" s="148" t="inlineStr">
        <is>
          <t>MAT</t>
        </is>
      </c>
      <c r="C853" s="149" t="inlineStr">
        <is>
          <t>강제전선관 (ST)</t>
        </is>
      </c>
      <c r="D853" s="149" t="inlineStr">
        <is>
          <t>16mm</t>
        </is>
      </c>
      <c r="E853" s="148" t="inlineStr">
        <is>
          <t>m</t>
        </is>
      </c>
      <c r="F853" s="160" t="n">
        <v>19.5</v>
      </c>
      <c r="G853" s="149" t="inlineStr">
        <is>
          <t>길이산출 19.5m</t>
        </is>
      </c>
      <c r="H853" s="148" t="inlineStr">
        <is>
          <t>◆</t>
        </is>
      </c>
    </row>
    <row r="854">
      <c r="A854" s="148" t="n">
        <v>2</v>
      </c>
      <c r="B854" s="148" t="inlineStr">
        <is>
          <t>MAT</t>
        </is>
      </c>
      <c r="C854" s="149" t="inlineStr">
        <is>
          <t>HFIX 내열비닐</t>
        </is>
      </c>
      <c r="D854" s="149" t="inlineStr">
        <is>
          <t>2.5㎟ 3C</t>
        </is>
      </c>
      <c r="E854" s="148" t="inlineStr">
        <is>
          <t>m</t>
        </is>
      </c>
      <c r="F854" s="160" t="n">
        <v>58.5</v>
      </c>
      <c r="G854" s="149" t="inlineStr">
        <is>
          <t>배관19.5m×가닥수</t>
        </is>
      </c>
      <c r="H854" s="148" t="inlineStr">
        <is>
          <t>◆</t>
        </is>
      </c>
    </row>
    <row r="855">
      <c r="A855" s="161" t="inlineStr"/>
      <c r="B855" s="161" t="inlineStr">
        <is>
          <t>ACC</t>
        </is>
      </c>
      <c r="C855" s="162" t="inlineStr">
        <is>
          <t xml:space="preserve">  ↳ 커플링</t>
        </is>
      </c>
      <c r="D855" s="162" t="inlineStr">
        <is>
          <t>16mm</t>
        </is>
      </c>
      <c r="E855" s="161" t="inlineStr">
        <is>
          <t>EA</t>
        </is>
      </c>
      <c r="F855" s="163" t="n">
        <v>6</v>
      </c>
      <c r="G855" s="162" t="inlineStr">
        <is>
          <t>19.5m÷3.6</t>
        </is>
      </c>
      <c r="H855" s="161" t="inlineStr">
        <is>
          <t>◆</t>
        </is>
      </c>
    </row>
    <row r="856">
      <c r="A856" s="161" t="inlineStr"/>
      <c r="B856" s="161" t="inlineStr">
        <is>
          <t>ACC</t>
        </is>
      </c>
      <c r="C856" s="162" t="inlineStr">
        <is>
          <t xml:space="preserve">  ↳ 커넥터</t>
        </is>
      </c>
      <c r="D856" s="162" t="inlineStr">
        <is>
          <t>16mm</t>
        </is>
      </c>
      <c r="E856" s="161" t="inlineStr">
        <is>
          <t>EA</t>
        </is>
      </c>
      <c r="F856" s="163" t="n">
        <v>2</v>
      </c>
      <c r="G856" s="162" t="inlineStr">
        <is>
          <t>양단 2개</t>
        </is>
      </c>
      <c r="H856" s="161" t="inlineStr">
        <is>
          <t>◆</t>
        </is>
      </c>
    </row>
    <row r="857">
      <c r="A857" s="161" t="inlineStr"/>
      <c r="B857" s="161" t="inlineStr">
        <is>
          <t>ACC</t>
        </is>
      </c>
      <c r="C857" s="162" t="inlineStr">
        <is>
          <t xml:space="preserve">  ↳ 부싱</t>
        </is>
      </c>
      <c r="D857" s="162" t="inlineStr">
        <is>
          <t>16mm</t>
        </is>
      </c>
      <c r="E857" s="161" t="inlineStr">
        <is>
          <t>EA</t>
        </is>
      </c>
      <c r="F857" s="163" t="n">
        <v>2</v>
      </c>
      <c r="G857" s="162">
        <f>커넥터수</f>
        <v/>
      </c>
      <c r="H857" s="161" t="inlineStr">
        <is>
          <t>◆</t>
        </is>
      </c>
    </row>
    <row r="858">
      <c r="A858" s="161" t="inlineStr"/>
      <c r="B858" s="161" t="inlineStr">
        <is>
          <t>ACC</t>
        </is>
      </c>
      <c r="C858" s="162" t="inlineStr">
        <is>
          <t xml:space="preserve">  ↳ 로크너트</t>
        </is>
      </c>
      <c r="D858" s="162" t="inlineStr">
        <is>
          <t>16mm</t>
        </is>
      </c>
      <c r="E858" s="161" t="inlineStr">
        <is>
          <t>EA</t>
        </is>
      </c>
      <c r="F858" s="163" t="n">
        <v>4</v>
      </c>
      <c r="G858" s="162">
        <f>커넥터×2</f>
        <v/>
      </c>
      <c r="H858" s="161" t="inlineStr">
        <is>
          <t>◆</t>
        </is>
      </c>
    </row>
    <row r="859">
      <c r="A859" s="161" t="inlineStr"/>
      <c r="B859" s="161" t="inlineStr">
        <is>
          <t>ACC</t>
        </is>
      </c>
      <c r="C859" s="162" t="inlineStr">
        <is>
          <t xml:space="preserve">  ↳ 새들</t>
        </is>
      </c>
      <c r="D859" s="162" t="inlineStr">
        <is>
          <t>16mm</t>
        </is>
      </c>
      <c r="E859" s="161" t="inlineStr">
        <is>
          <t>EA</t>
        </is>
      </c>
      <c r="F859" s="163" t="n">
        <v>13</v>
      </c>
      <c r="G859" s="162" t="inlineStr">
        <is>
          <t>19.5m÷1.5</t>
        </is>
      </c>
      <c r="H859" s="161" t="inlineStr">
        <is>
          <t>◆</t>
        </is>
      </c>
    </row>
    <row r="860" ht="14.25" customHeight="1" s="78">
      <c r="A860" s="158" t="inlineStr">
        <is>
          <t xml:space="preserve">  [14] DC1 (DC등 (비상조명))</t>
        </is>
      </c>
      <c r="B860" s="174" t="n"/>
      <c r="C860" s="174" t="n"/>
      <c r="D860" s="174" t="n"/>
      <c r="E860" s="174" t="n"/>
      <c r="F860" s="174" t="n"/>
      <c r="G860" s="174" t="n"/>
      <c r="H860" s="175" t="n"/>
    </row>
    <row r="861">
      <c r="A861" s="148" t="n">
        <v>1</v>
      </c>
      <c r="B861" s="148" t="inlineStr">
        <is>
          <t>MAT</t>
        </is>
      </c>
      <c r="C861" s="149" t="inlineStr">
        <is>
          <t>강제전선관 (ST)</t>
        </is>
      </c>
      <c r="D861" s="149" t="inlineStr">
        <is>
          <t>16mm</t>
        </is>
      </c>
      <c r="E861" s="148" t="inlineStr">
        <is>
          <t>m</t>
        </is>
      </c>
      <c r="F861" s="160" t="n">
        <v>19.5</v>
      </c>
      <c r="G861" s="149" t="inlineStr">
        <is>
          <t>길이산출 19.5m</t>
        </is>
      </c>
      <c r="H861" s="148" t="inlineStr">
        <is>
          <t>◆</t>
        </is>
      </c>
    </row>
    <row r="862">
      <c r="A862" s="148" t="n">
        <v>2</v>
      </c>
      <c r="B862" s="148" t="inlineStr">
        <is>
          <t>MAT</t>
        </is>
      </c>
      <c r="C862" s="149" t="inlineStr">
        <is>
          <t>HFIX 내열비닐</t>
        </is>
      </c>
      <c r="D862" s="149" t="inlineStr">
        <is>
          <t>2.5㎟ 3C</t>
        </is>
      </c>
      <c r="E862" s="148" t="inlineStr">
        <is>
          <t>m</t>
        </is>
      </c>
      <c r="F862" s="160" t="n">
        <v>58.5</v>
      </c>
      <c r="G862" s="149" t="inlineStr">
        <is>
          <t>배관19.5m×가닥수</t>
        </is>
      </c>
      <c r="H862" s="148" t="inlineStr">
        <is>
          <t>◆</t>
        </is>
      </c>
    </row>
    <row r="863">
      <c r="A863" s="161" t="inlineStr"/>
      <c r="B863" s="161" t="inlineStr">
        <is>
          <t>ACC</t>
        </is>
      </c>
      <c r="C863" s="162" t="inlineStr">
        <is>
          <t xml:space="preserve">  ↳ 커플링</t>
        </is>
      </c>
      <c r="D863" s="162" t="inlineStr">
        <is>
          <t>16mm</t>
        </is>
      </c>
      <c r="E863" s="161" t="inlineStr">
        <is>
          <t>EA</t>
        </is>
      </c>
      <c r="F863" s="163" t="n">
        <v>6</v>
      </c>
      <c r="G863" s="162" t="inlineStr">
        <is>
          <t>19.5m÷3.6</t>
        </is>
      </c>
      <c r="H863" s="161" t="inlineStr">
        <is>
          <t>◆</t>
        </is>
      </c>
    </row>
    <row r="864">
      <c r="A864" s="161" t="inlineStr"/>
      <c r="B864" s="161" t="inlineStr">
        <is>
          <t>ACC</t>
        </is>
      </c>
      <c r="C864" s="162" t="inlineStr">
        <is>
          <t xml:space="preserve">  ↳ 커넥터</t>
        </is>
      </c>
      <c r="D864" s="162" t="inlineStr">
        <is>
          <t>16mm</t>
        </is>
      </c>
      <c r="E864" s="161" t="inlineStr">
        <is>
          <t>EA</t>
        </is>
      </c>
      <c r="F864" s="163" t="n">
        <v>2</v>
      </c>
      <c r="G864" s="162" t="inlineStr">
        <is>
          <t>양단 2개</t>
        </is>
      </c>
      <c r="H864" s="161" t="inlineStr">
        <is>
          <t>◆</t>
        </is>
      </c>
    </row>
    <row r="865">
      <c r="A865" s="161" t="inlineStr"/>
      <c r="B865" s="161" t="inlineStr">
        <is>
          <t>ACC</t>
        </is>
      </c>
      <c r="C865" s="162" t="inlineStr">
        <is>
          <t xml:space="preserve">  ↳ 부싱</t>
        </is>
      </c>
      <c r="D865" s="162" t="inlineStr">
        <is>
          <t>16mm</t>
        </is>
      </c>
      <c r="E865" s="161" t="inlineStr">
        <is>
          <t>EA</t>
        </is>
      </c>
      <c r="F865" s="163" t="n">
        <v>2</v>
      </c>
      <c r="G865" s="162">
        <f>커넥터수</f>
        <v/>
      </c>
      <c r="H865" s="161" t="inlineStr">
        <is>
          <t>◆</t>
        </is>
      </c>
    </row>
    <row r="866">
      <c r="A866" s="161" t="inlineStr"/>
      <c r="B866" s="161" t="inlineStr">
        <is>
          <t>ACC</t>
        </is>
      </c>
      <c r="C866" s="162" t="inlineStr">
        <is>
          <t xml:space="preserve">  ↳ 로크너트</t>
        </is>
      </c>
      <c r="D866" s="162" t="inlineStr">
        <is>
          <t>16mm</t>
        </is>
      </c>
      <c r="E866" s="161" t="inlineStr">
        <is>
          <t>EA</t>
        </is>
      </c>
      <c r="F866" s="163" t="n">
        <v>4</v>
      </c>
      <c r="G866" s="162">
        <f>커넥터×2</f>
        <v/>
      </c>
      <c r="H866" s="161" t="inlineStr">
        <is>
          <t>◆</t>
        </is>
      </c>
    </row>
    <row r="867">
      <c r="A867" s="161" t="inlineStr"/>
      <c r="B867" s="161" t="inlineStr">
        <is>
          <t>ACC</t>
        </is>
      </c>
      <c r="C867" s="162" t="inlineStr">
        <is>
          <t xml:space="preserve">  ↳ 새들</t>
        </is>
      </c>
      <c r="D867" s="162" t="inlineStr">
        <is>
          <t>16mm</t>
        </is>
      </c>
      <c r="E867" s="161" t="inlineStr">
        <is>
          <t>EA</t>
        </is>
      </c>
      <c r="F867" s="163" t="n">
        <v>13</v>
      </c>
      <c r="G867" s="162" t="inlineStr">
        <is>
          <t>19.5m÷1.5</t>
        </is>
      </c>
      <c r="H867" s="161" t="inlineStr">
        <is>
          <t>◆</t>
        </is>
      </c>
    </row>
    <row r="868" ht="14.25" customHeight="1" s="78">
      <c r="A868" s="158" t="inlineStr">
        <is>
          <t xml:space="preserve">  [15] ET2 (2층 화장실 온수기)</t>
        </is>
      </c>
      <c r="B868" s="174" t="n"/>
      <c r="C868" s="174" t="n"/>
      <c r="D868" s="174" t="n"/>
      <c r="E868" s="174" t="n"/>
      <c r="F868" s="174" t="n"/>
      <c r="G868" s="174" t="n"/>
      <c r="H868" s="175" t="n"/>
    </row>
    <row r="869">
      <c r="A869" s="148" t="n">
        <v>1</v>
      </c>
      <c r="B869" s="148" t="inlineStr">
        <is>
          <t>MAT</t>
        </is>
      </c>
      <c r="C869" s="149" t="inlineStr">
        <is>
          <t>강제전선관 (ST)</t>
        </is>
      </c>
      <c r="D869" s="149" t="inlineStr">
        <is>
          <t>22mm</t>
        </is>
      </c>
      <c r="E869" s="148" t="inlineStr">
        <is>
          <t>m</t>
        </is>
      </c>
      <c r="F869" s="160" t="n">
        <v>24.7</v>
      </c>
      <c r="G869" s="149" t="inlineStr">
        <is>
          <t>길이산출 24.7m</t>
        </is>
      </c>
      <c r="H869" s="148" t="inlineStr">
        <is>
          <t>◆</t>
        </is>
      </c>
    </row>
    <row r="870">
      <c r="A870" s="148" t="n">
        <v>2</v>
      </c>
      <c r="B870" s="148" t="inlineStr">
        <is>
          <t>MAT</t>
        </is>
      </c>
      <c r="C870" s="149" t="inlineStr">
        <is>
          <t>HFIX 내열비닐</t>
        </is>
      </c>
      <c r="D870" s="149" t="inlineStr">
        <is>
          <t>4㎟ 3C</t>
        </is>
      </c>
      <c r="E870" s="148" t="inlineStr">
        <is>
          <t>m</t>
        </is>
      </c>
      <c r="F870" s="160" t="n">
        <v>74.09999999999999</v>
      </c>
      <c r="G870" s="149" t="inlineStr">
        <is>
          <t>배관24.7m×가닥수</t>
        </is>
      </c>
      <c r="H870" s="148" t="inlineStr">
        <is>
          <t>◆</t>
        </is>
      </c>
    </row>
    <row r="871">
      <c r="A871" s="161" t="inlineStr"/>
      <c r="B871" s="161" t="inlineStr">
        <is>
          <t>ACC</t>
        </is>
      </c>
      <c r="C871" s="162" t="inlineStr">
        <is>
          <t xml:space="preserve">  ↳ 커플링</t>
        </is>
      </c>
      <c r="D871" s="162" t="inlineStr">
        <is>
          <t>22mm</t>
        </is>
      </c>
      <c r="E871" s="161" t="inlineStr">
        <is>
          <t>EA</t>
        </is>
      </c>
      <c r="F871" s="163" t="n">
        <v>7</v>
      </c>
      <c r="G871" s="162" t="inlineStr">
        <is>
          <t>24.7m÷3.6</t>
        </is>
      </c>
      <c r="H871" s="161" t="inlineStr">
        <is>
          <t>◆</t>
        </is>
      </c>
    </row>
    <row r="872">
      <c r="A872" s="161" t="inlineStr"/>
      <c r="B872" s="161" t="inlineStr">
        <is>
          <t>ACC</t>
        </is>
      </c>
      <c r="C872" s="162" t="inlineStr">
        <is>
          <t xml:space="preserve">  ↳ 커넥터</t>
        </is>
      </c>
      <c r="D872" s="162" t="inlineStr">
        <is>
          <t>22mm</t>
        </is>
      </c>
      <c r="E872" s="161" t="inlineStr">
        <is>
          <t>EA</t>
        </is>
      </c>
      <c r="F872" s="163" t="n">
        <v>2</v>
      </c>
      <c r="G872" s="162" t="inlineStr">
        <is>
          <t>양단 2개</t>
        </is>
      </c>
      <c r="H872" s="161" t="inlineStr">
        <is>
          <t>◆</t>
        </is>
      </c>
    </row>
    <row r="873">
      <c r="A873" s="161" t="inlineStr"/>
      <c r="B873" s="161" t="inlineStr">
        <is>
          <t>ACC</t>
        </is>
      </c>
      <c r="C873" s="162" t="inlineStr">
        <is>
          <t xml:space="preserve">  ↳ 부싱</t>
        </is>
      </c>
      <c r="D873" s="162" t="inlineStr">
        <is>
          <t>22mm</t>
        </is>
      </c>
      <c r="E873" s="161" t="inlineStr">
        <is>
          <t>EA</t>
        </is>
      </c>
      <c r="F873" s="163" t="n">
        <v>2</v>
      </c>
      <c r="G873" s="162">
        <f>커넥터수</f>
        <v/>
      </c>
      <c r="H873" s="161" t="inlineStr">
        <is>
          <t>◆</t>
        </is>
      </c>
    </row>
    <row r="874">
      <c r="A874" s="161" t="inlineStr"/>
      <c r="B874" s="161" t="inlineStr">
        <is>
          <t>ACC</t>
        </is>
      </c>
      <c r="C874" s="162" t="inlineStr">
        <is>
          <t xml:space="preserve">  ↳ 로크너트</t>
        </is>
      </c>
      <c r="D874" s="162" t="inlineStr">
        <is>
          <t>22mm</t>
        </is>
      </c>
      <c r="E874" s="161" t="inlineStr">
        <is>
          <t>EA</t>
        </is>
      </c>
      <c r="F874" s="163" t="n">
        <v>4</v>
      </c>
      <c r="G874" s="162">
        <f>커넥터×2</f>
        <v/>
      </c>
      <c r="H874" s="161" t="inlineStr">
        <is>
          <t>◆</t>
        </is>
      </c>
    </row>
    <row r="875">
      <c r="A875" s="161" t="inlineStr"/>
      <c r="B875" s="161" t="inlineStr">
        <is>
          <t>ACC</t>
        </is>
      </c>
      <c r="C875" s="162" t="inlineStr">
        <is>
          <t xml:space="preserve">  ↳ 새들</t>
        </is>
      </c>
      <c r="D875" s="162" t="inlineStr">
        <is>
          <t>22mm</t>
        </is>
      </c>
      <c r="E875" s="161" t="inlineStr">
        <is>
          <t>EA</t>
        </is>
      </c>
      <c r="F875" s="163" t="n">
        <v>17</v>
      </c>
      <c r="G875" s="162" t="inlineStr">
        <is>
          <t>24.7m÷1.5</t>
        </is>
      </c>
      <c r="H875" s="161" t="inlineStr">
        <is>
          <t>◆</t>
        </is>
      </c>
    </row>
    <row r="876" ht="14.25" customHeight="1" s="78">
      <c r="A876" s="158" t="inlineStr">
        <is>
          <t xml:space="preserve">  [16] EH2 (2층 화장실 히터)</t>
        </is>
      </c>
      <c r="B876" s="174" t="n"/>
      <c r="C876" s="174" t="n"/>
      <c r="D876" s="174" t="n"/>
      <c r="E876" s="174" t="n"/>
      <c r="F876" s="174" t="n"/>
      <c r="G876" s="174" t="n"/>
      <c r="H876" s="175" t="n"/>
    </row>
    <row r="877">
      <c r="A877" s="148" t="n">
        <v>1</v>
      </c>
      <c r="B877" s="148" t="inlineStr">
        <is>
          <t>MAT</t>
        </is>
      </c>
      <c r="C877" s="149" t="inlineStr">
        <is>
          <t>강제전선관 (ST)</t>
        </is>
      </c>
      <c r="D877" s="149" t="inlineStr">
        <is>
          <t>22mm</t>
        </is>
      </c>
      <c r="E877" s="148" t="inlineStr">
        <is>
          <t>m</t>
        </is>
      </c>
      <c r="F877" s="160" t="n">
        <v>24.7</v>
      </c>
      <c r="G877" s="149" t="inlineStr">
        <is>
          <t>길이산출 24.7m</t>
        </is>
      </c>
      <c r="H877" s="148" t="inlineStr">
        <is>
          <t>◆</t>
        </is>
      </c>
    </row>
    <row r="878">
      <c r="A878" s="148" t="n">
        <v>2</v>
      </c>
      <c r="B878" s="148" t="inlineStr">
        <is>
          <t>MAT</t>
        </is>
      </c>
      <c r="C878" s="149" t="inlineStr">
        <is>
          <t>HFIX 내열비닐</t>
        </is>
      </c>
      <c r="D878" s="149" t="inlineStr">
        <is>
          <t>4㎟ 3C</t>
        </is>
      </c>
      <c r="E878" s="148" t="inlineStr">
        <is>
          <t>m</t>
        </is>
      </c>
      <c r="F878" s="160" t="n">
        <v>74.09999999999999</v>
      </c>
      <c r="G878" s="149" t="inlineStr">
        <is>
          <t>배관24.7m×가닥수</t>
        </is>
      </c>
      <c r="H878" s="148" t="inlineStr">
        <is>
          <t>◆</t>
        </is>
      </c>
    </row>
    <row r="879">
      <c r="A879" s="161" t="inlineStr"/>
      <c r="B879" s="161" t="inlineStr">
        <is>
          <t>ACC</t>
        </is>
      </c>
      <c r="C879" s="162" t="inlineStr">
        <is>
          <t xml:space="preserve">  ↳ 커플링</t>
        </is>
      </c>
      <c r="D879" s="162" t="inlineStr">
        <is>
          <t>22mm</t>
        </is>
      </c>
      <c r="E879" s="161" t="inlineStr">
        <is>
          <t>EA</t>
        </is>
      </c>
      <c r="F879" s="163" t="n">
        <v>7</v>
      </c>
      <c r="G879" s="162" t="inlineStr">
        <is>
          <t>24.7m÷3.6</t>
        </is>
      </c>
      <c r="H879" s="161" t="inlineStr">
        <is>
          <t>◆</t>
        </is>
      </c>
    </row>
    <row r="880">
      <c r="A880" s="161" t="inlineStr"/>
      <c r="B880" s="161" t="inlineStr">
        <is>
          <t>ACC</t>
        </is>
      </c>
      <c r="C880" s="162" t="inlineStr">
        <is>
          <t xml:space="preserve">  ↳ 커넥터</t>
        </is>
      </c>
      <c r="D880" s="162" t="inlineStr">
        <is>
          <t>22mm</t>
        </is>
      </c>
      <c r="E880" s="161" t="inlineStr">
        <is>
          <t>EA</t>
        </is>
      </c>
      <c r="F880" s="163" t="n">
        <v>2</v>
      </c>
      <c r="G880" s="162" t="inlineStr">
        <is>
          <t>양단 2개</t>
        </is>
      </c>
      <c r="H880" s="161" t="inlineStr">
        <is>
          <t>◆</t>
        </is>
      </c>
    </row>
    <row r="881">
      <c r="A881" s="161" t="inlineStr"/>
      <c r="B881" s="161" t="inlineStr">
        <is>
          <t>ACC</t>
        </is>
      </c>
      <c r="C881" s="162" t="inlineStr">
        <is>
          <t xml:space="preserve">  ↳ 부싱</t>
        </is>
      </c>
      <c r="D881" s="162" t="inlineStr">
        <is>
          <t>22mm</t>
        </is>
      </c>
      <c r="E881" s="161" t="inlineStr">
        <is>
          <t>EA</t>
        </is>
      </c>
      <c r="F881" s="163" t="n">
        <v>2</v>
      </c>
      <c r="G881" s="162">
        <f>커넥터수</f>
        <v/>
      </c>
      <c r="H881" s="161" t="inlineStr">
        <is>
          <t>◆</t>
        </is>
      </c>
    </row>
    <row r="882">
      <c r="A882" s="161" t="inlineStr"/>
      <c r="B882" s="161" t="inlineStr">
        <is>
          <t>ACC</t>
        </is>
      </c>
      <c r="C882" s="162" t="inlineStr">
        <is>
          <t xml:space="preserve">  ↳ 로크너트</t>
        </is>
      </c>
      <c r="D882" s="162" t="inlineStr">
        <is>
          <t>22mm</t>
        </is>
      </c>
      <c r="E882" s="161" t="inlineStr">
        <is>
          <t>EA</t>
        </is>
      </c>
      <c r="F882" s="163" t="n">
        <v>4</v>
      </c>
      <c r="G882" s="162">
        <f>커넥터×2</f>
        <v/>
      </c>
      <c r="H882" s="161" t="inlineStr">
        <is>
          <t>◆</t>
        </is>
      </c>
    </row>
    <row r="883">
      <c r="A883" s="161" t="inlineStr"/>
      <c r="B883" s="161" t="inlineStr">
        <is>
          <t>ACC</t>
        </is>
      </c>
      <c r="C883" s="162" t="inlineStr">
        <is>
          <t xml:space="preserve">  ↳ 새들</t>
        </is>
      </c>
      <c r="D883" s="162" t="inlineStr">
        <is>
          <t>22mm</t>
        </is>
      </c>
      <c r="E883" s="161" t="inlineStr">
        <is>
          <t>EA</t>
        </is>
      </c>
      <c r="F883" s="163" t="n">
        <v>17</v>
      </c>
      <c r="G883" s="162" t="inlineStr">
        <is>
          <t>24.7m÷1.5</t>
        </is>
      </c>
      <c r="H883" s="161" t="inlineStr">
        <is>
          <t>◆</t>
        </is>
      </c>
    </row>
    <row r="884">
      <c r="A884" s="161" t="inlineStr"/>
      <c r="B884" s="161" t="inlineStr">
        <is>
          <t>SUP</t>
        </is>
      </c>
      <c r="C884" s="162" t="inlineStr">
        <is>
          <t>전산볼트 M10 × 1m</t>
        </is>
      </c>
      <c r="D884" s="162" t="inlineStr">
        <is>
          <t>M10</t>
        </is>
      </c>
      <c r="E884" s="161" t="inlineStr">
        <is>
          <t>EA</t>
        </is>
      </c>
      <c r="F884" s="163" t="n">
        <v>160</v>
      </c>
      <c r="G884" s="162" t="inlineStr">
        <is>
          <t>총배관239.2m÷1.5</t>
        </is>
      </c>
      <c r="H884" s="161" t="inlineStr">
        <is>
          <t>◆</t>
        </is>
      </c>
    </row>
    <row r="885">
      <c r="A885" s="161" t="inlineStr"/>
      <c r="B885" s="161" t="inlineStr">
        <is>
          <t>SUP</t>
        </is>
      </c>
      <c r="C885" s="162" t="inlineStr">
        <is>
          <t>유크램프</t>
        </is>
      </c>
      <c r="D885" s="162" t="inlineStr">
        <is>
          <t>공용</t>
        </is>
      </c>
      <c r="E885" s="161" t="inlineStr">
        <is>
          <t>EA</t>
        </is>
      </c>
      <c r="F885" s="163" t="n">
        <v>160</v>
      </c>
      <c r="G885" s="162" t="inlineStr">
        <is>
          <t>총배관239.2m÷1.5</t>
        </is>
      </c>
      <c r="H885" s="161" t="inlineStr">
        <is>
          <t>◆</t>
        </is>
      </c>
    </row>
    <row r="886">
      <c r="A886" s="161" t="inlineStr"/>
      <c r="B886" s="161" t="inlineStr">
        <is>
          <t>CMN</t>
        </is>
      </c>
      <c r="C886" s="162" t="inlineStr">
        <is>
          <t>아울렛 박스 (4각)</t>
        </is>
      </c>
      <c r="D886" s="162" t="inlineStr">
        <is>
          <t>4각</t>
        </is>
      </c>
      <c r="E886" s="161" t="inlineStr">
        <is>
          <t>EA</t>
        </is>
      </c>
      <c r="F886" s="163" t="n">
        <v>30</v>
      </c>
      <c r="G886" s="162" t="inlineStr">
        <is>
          <t>접속점30개</t>
        </is>
      </c>
      <c r="H886" s="161" t="inlineStr">
        <is>
          <t>▲</t>
        </is>
      </c>
    </row>
    <row r="887">
      <c r="A887" s="161" t="inlineStr"/>
      <c r="B887" s="161" t="inlineStr">
        <is>
          <t>CMN</t>
        </is>
      </c>
      <c r="C887" s="162" t="inlineStr">
        <is>
          <t>풀박스</t>
        </is>
      </c>
      <c r="D887" s="162" t="inlineStr">
        <is>
          <t>200×200</t>
        </is>
      </c>
      <c r="E887" s="161" t="inlineStr">
        <is>
          <t>EA</t>
        </is>
      </c>
      <c r="F887" s="163" t="n">
        <v>7</v>
      </c>
      <c r="G887" s="162" t="inlineStr">
        <is>
          <t>239.2m÷30</t>
        </is>
      </c>
      <c r="H887" s="161" t="inlineStr">
        <is>
          <t>▲</t>
        </is>
      </c>
    </row>
    <row r="888">
      <c r="A888" s="161" t="inlineStr"/>
      <c r="B888" s="161" t="inlineStr">
        <is>
          <t>CMN</t>
        </is>
      </c>
      <c r="C888" s="162" t="inlineStr">
        <is>
          <t>와이어 커넥터</t>
        </is>
      </c>
      <c r="D888" s="162" t="inlineStr">
        <is>
          <t>중</t>
        </is>
      </c>
      <c r="E888" s="161" t="inlineStr">
        <is>
          <t>셋</t>
        </is>
      </c>
      <c r="F888" s="163" t="n">
        <v>90</v>
      </c>
      <c r="G888" s="162" t="inlineStr">
        <is>
          <t>접속점30×3</t>
        </is>
      </c>
      <c r="H888" s="161" t="inlineStr">
        <is>
          <t>▲</t>
        </is>
      </c>
    </row>
    <row r="889">
      <c r="A889" s="161" t="inlineStr"/>
      <c r="B889" s="161" t="inlineStr">
        <is>
          <t>CMN</t>
        </is>
      </c>
      <c r="C889" s="162" t="inlineStr">
        <is>
          <t>PVC 테이프</t>
        </is>
      </c>
      <c r="D889" s="162" t="inlineStr">
        <is>
          <t>19mm</t>
        </is>
      </c>
      <c r="E889" s="161" t="inlineStr">
        <is>
          <t>롤</t>
        </is>
      </c>
      <c r="F889" s="163" t="n">
        <v>3</v>
      </c>
      <c r="G889" s="162" t="inlineStr">
        <is>
          <t>접속점30÷10</t>
        </is>
      </c>
      <c r="H889" s="161" t="inlineStr">
        <is>
          <t>▲</t>
        </is>
      </c>
    </row>
    <row r="890" ht="14.25" customHeight="1" s="78">
      <c r="A890" s="165" t="inlineStr">
        <is>
          <t>( B1F 전열·조명공사 소계 )</t>
        </is>
      </c>
      <c r="B890" s="174" t="n"/>
      <c r="C890" s="174" t="n"/>
      <c r="D890" s="174" t="n"/>
      <c r="E890" s="174" t="n"/>
      <c r="F890" s="174" t="n"/>
      <c r="G890" s="174" t="n"/>
      <c r="H890" s="175" t="n"/>
    </row>
    <row r="891">
      <c r="A891" s="167" t="inlineStr"/>
      <c r="B891" s="167" t="inlineStr">
        <is>
          <t>MAT</t>
        </is>
      </c>
      <c r="C891" s="168" t="inlineStr">
        <is>
          <t>HFIX 내열비닐</t>
        </is>
      </c>
      <c r="D891" s="168" t="inlineStr">
        <is>
          <t>2.5㎟ 3C</t>
        </is>
      </c>
      <c r="E891" s="167" t="inlineStr">
        <is>
          <t>m</t>
        </is>
      </c>
      <c r="F891" s="169" t="n">
        <v>362.7</v>
      </c>
      <c r="G891" s="168" t="inlineStr">
        <is>
          <t>2(23.4)+3(23.4)+4(70.2)+...(9회로)</t>
        </is>
      </c>
      <c r="H891" s="167" t="inlineStr"/>
    </row>
    <row r="892">
      <c r="A892" s="167" t="inlineStr"/>
      <c r="B892" s="167" t="inlineStr">
        <is>
          <t>MAT</t>
        </is>
      </c>
      <c r="C892" s="168" t="inlineStr">
        <is>
          <t>HFIX 내열비닐</t>
        </is>
      </c>
      <c r="D892" s="168" t="inlineStr">
        <is>
          <t>4㎟ 3C</t>
        </is>
      </c>
      <c r="E892" s="167" t="inlineStr">
        <is>
          <t>m</t>
        </is>
      </c>
      <c r="F892" s="169" t="n">
        <v>354.9</v>
      </c>
      <c r="G892" s="168" t="inlineStr">
        <is>
          <t>1(39.0)+8(54.6)+9(54.6)+10(58.5)+15(74.1)+16(74.1)</t>
        </is>
      </c>
      <c r="H892" s="167" t="inlineStr"/>
    </row>
    <row r="893">
      <c r="A893" s="167" t="inlineStr"/>
      <c r="B893" s="167" t="inlineStr">
        <is>
          <t>MAT</t>
        </is>
      </c>
      <c r="C893" s="168" t="inlineStr">
        <is>
          <t>강제전선관 (ST)</t>
        </is>
      </c>
      <c r="D893" s="168" t="inlineStr">
        <is>
          <t>16mm</t>
        </is>
      </c>
      <c r="E893" s="167" t="inlineStr">
        <is>
          <t>m</t>
        </is>
      </c>
      <c r="F893" s="169" t="n">
        <v>120.9</v>
      </c>
      <c r="G893" s="168" t="inlineStr">
        <is>
          <t>2(7.8)+3(7.8)+4(23.4)+...(9회로)</t>
        </is>
      </c>
      <c r="H893" s="167" t="inlineStr"/>
    </row>
    <row r="894">
      <c r="A894" s="167" t="inlineStr"/>
      <c r="B894" s="167" t="inlineStr">
        <is>
          <t>MAT</t>
        </is>
      </c>
      <c r="C894" s="168" t="inlineStr">
        <is>
          <t>강제전선관 (ST)</t>
        </is>
      </c>
      <c r="D894" s="168" t="inlineStr">
        <is>
          <t>22mm</t>
        </is>
      </c>
      <c r="E894" s="167" t="inlineStr">
        <is>
          <t>m</t>
        </is>
      </c>
      <c r="F894" s="169" t="n">
        <v>118.3</v>
      </c>
      <c r="G894" s="168" t="inlineStr">
        <is>
          <t>1(13.0)+8(18.2)+9(18.2)+10(19.5)+15(24.7)+16(24.7)</t>
        </is>
      </c>
      <c r="H894" s="167" t="inlineStr"/>
    </row>
    <row r="895">
      <c r="A895" s="167" t="inlineStr"/>
      <c r="B895" s="167" t="inlineStr">
        <is>
          <t>ACC</t>
        </is>
      </c>
      <c r="C895" s="168" t="inlineStr">
        <is>
          <t>로크너트</t>
        </is>
      </c>
      <c r="D895" s="168" t="inlineStr">
        <is>
          <t>16mm</t>
        </is>
      </c>
      <c r="E895" s="167" t="inlineStr">
        <is>
          <t>EA</t>
        </is>
      </c>
      <c r="F895" s="170" t="n">
        <v>36</v>
      </c>
      <c r="G895" s="168" t="inlineStr">
        <is>
          <t>2(4)+3(4)+4(4)+...(9회로)</t>
        </is>
      </c>
      <c r="H895" s="167" t="inlineStr"/>
    </row>
    <row r="896">
      <c r="A896" s="167" t="inlineStr"/>
      <c r="B896" s="167" t="inlineStr">
        <is>
          <t>ACC</t>
        </is>
      </c>
      <c r="C896" s="168" t="inlineStr">
        <is>
          <t>로크너트</t>
        </is>
      </c>
      <c r="D896" s="168" t="inlineStr">
        <is>
          <t>22mm</t>
        </is>
      </c>
      <c r="E896" s="167" t="inlineStr">
        <is>
          <t>EA</t>
        </is>
      </c>
      <c r="F896" s="170" t="n">
        <v>24</v>
      </c>
      <c r="G896" s="168" t="inlineStr">
        <is>
          <t>1(4)+8(4)+9(4)+10(4)+15(4)+16(4)</t>
        </is>
      </c>
      <c r="H896" s="167" t="inlineStr"/>
    </row>
    <row r="897">
      <c r="A897" s="167" t="inlineStr"/>
      <c r="B897" s="167" t="inlineStr">
        <is>
          <t>ACC</t>
        </is>
      </c>
      <c r="C897" s="168" t="inlineStr">
        <is>
          <t>부싱</t>
        </is>
      </c>
      <c r="D897" s="168" t="inlineStr">
        <is>
          <t>16mm</t>
        </is>
      </c>
      <c r="E897" s="167" t="inlineStr">
        <is>
          <t>EA</t>
        </is>
      </c>
      <c r="F897" s="170" t="n">
        <v>18</v>
      </c>
      <c r="G897" s="168" t="inlineStr">
        <is>
          <t>2(2)+3(2)+4(2)+...(9회로)</t>
        </is>
      </c>
      <c r="H897" s="167" t="inlineStr"/>
    </row>
    <row r="898">
      <c r="A898" s="167" t="inlineStr"/>
      <c r="B898" s="167" t="inlineStr">
        <is>
          <t>ACC</t>
        </is>
      </c>
      <c r="C898" s="168" t="inlineStr">
        <is>
          <t>부싱</t>
        </is>
      </c>
      <c r="D898" s="168" t="inlineStr">
        <is>
          <t>22mm</t>
        </is>
      </c>
      <c r="E898" s="167" t="inlineStr">
        <is>
          <t>EA</t>
        </is>
      </c>
      <c r="F898" s="170" t="n">
        <v>12</v>
      </c>
      <c r="G898" s="168" t="inlineStr">
        <is>
          <t>1(2)+8(2)+9(2)+10(2)+15(2)+16(2)</t>
        </is>
      </c>
      <c r="H898" s="167" t="inlineStr"/>
    </row>
    <row r="899">
      <c r="A899" s="167" t="inlineStr"/>
      <c r="B899" s="167" t="inlineStr">
        <is>
          <t>ACC</t>
        </is>
      </c>
      <c r="C899" s="168" t="inlineStr">
        <is>
          <t>새들</t>
        </is>
      </c>
      <c r="D899" s="168" t="inlineStr">
        <is>
          <t>16mm</t>
        </is>
      </c>
      <c r="E899" s="167" t="inlineStr">
        <is>
          <t>EA</t>
        </is>
      </c>
      <c r="F899" s="170" t="n">
        <v>85</v>
      </c>
      <c r="G899" s="168" t="inlineStr">
        <is>
          <t>2(6)+3(6)+4(16)+...(9회로)</t>
        </is>
      </c>
      <c r="H899" s="167" t="inlineStr"/>
    </row>
    <row r="900">
      <c r="A900" s="167" t="inlineStr"/>
      <c r="B900" s="167" t="inlineStr">
        <is>
          <t>ACC</t>
        </is>
      </c>
      <c r="C900" s="168" t="inlineStr">
        <is>
          <t>새들</t>
        </is>
      </c>
      <c r="D900" s="168" t="inlineStr">
        <is>
          <t>22mm</t>
        </is>
      </c>
      <c r="E900" s="167" t="inlineStr">
        <is>
          <t>EA</t>
        </is>
      </c>
      <c r="F900" s="170" t="n">
        <v>82</v>
      </c>
      <c r="G900" s="168" t="inlineStr">
        <is>
          <t>1(9)+8(13)+9(13)+10(13)+15(17)+16(17)</t>
        </is>
      </c>
      <c r="H900" s="167" t="inlineStr"/>
    </row>
    <row r="901">
      <c r="A901" s="167" t="inlineStr"/>
      <c r="B901" s="167" t="inlineStr">
        <is>
          <t>ACC</t>
        </is>
      </c>
      <c r="C901" s="168" t="inlineStr">
        <is>
          <t>커넥터</t>
        </is>
      </c>
      <c r="D901" s="168" t="inlineStr">
        <is>
          <t>16mm</t>
        </is>
      </c>
      <c r="E901" s="167" t="inlineStr">
        <is>
          <t>EA</t>
        </is>
      </c>
      <c r="F901" s="170" t="n">
        <v>18</v>
      </c>
      <c r="G901" s="168" t="inlineStr">
        <is>
          <t>2(2)+3(2)+4(2)+...(9회로)</t>
        </is>
      </c>
      <c r="H901" s="167" t="inlineStr"/>
    </row>
    <row r="902">
      <c r="A902" s="167" t="inlineStr"/>
      <c r="B902" s="167" t="inlineStr">
        <is>
          <t>ACC</t>
        </is>
      </c>
      <c r="C902" s="168" t="inlineStr">
        <is>
          <t>커넥터</t>
        </is>
      </c>
      <c r="D902" s="168" t="inlineStr">
        <is>
          <t>22mm</t>
        </is>
      </c>
      <c r="E902" s="167" t="inlineStr">
        <is>
          <t>EA</t>
        </is>
      </c>
      <c r="F902" s="170" t="n">
        <v>12</v>
      </c>
      <c r="G902" s="168" t="inlineStr">
        <is>
          <t>1(2)+8(2)+9(2)+10(2)+15(2)+16(2)</t>
        </is>
      </c>
      <c r="H902" s="167" t="inlineStr"/>
    </row>
    <row r="903">
      <c r="A903" s="167" t="inlineStr"/>
      <c r="B903" s="167" t="inlineStr">
        <is>
          <t>ACC</t>
        </is>
      </c>
      <c r="C903" s="168" t="inlineStr">
        <is>
          <t>커플링</t>
        </is>
      </c>
      <c r="D903" s="168" t="inlineStr">
        <is>
          <t>16mm</t>
        </is>
      </c>
      <c r="E903" s="167" t="inlineStr">
        <is>
          <t>EA</t>
        </is>
      </c>
      <c r="F903" s="170" t="n">
        <v>40</v>
      </c>
      <c r="G903" s="168" t="inlineStr">
        <is>
          <t>2(3)+3(3)+4(7)+...(9회로)</t>
        </is>
      </c>
      <c r="H903" s="167" t="inlineStr"/>
    </row>
    <row r="904">
      <c r="A904" s="167" t="inlineStr"/>
      <c r="B904" s="167" t="inlineStr">
        <is>
          <t>ACC</t>
        </is>
      </c>
      <c r="C904" s="168" t="inlineStr">
        <is>
          <t>커플링</t>
        </is>
      </c>
      <c r="D904" s="168" t="inlineStr">
        <is>
          <t>22mm</t>
        </is>
      </c>
      <c r="E904" s="167" t="inlineStr">
        <is>
          <t>EA</t>
        </is>
      </c>
      <c r="F904" s="170" t="n">
        <v>36</v>
      </c>
      <c r="G904" s="168" t="inlineStr">
        <is>
          <t>1(4)+8(6)+9(6)+10(6)+15(7)+16(7)</t>
        </is>
      </c>
      <c r="H904" s="167" t="inlineStr"/>
    </row>
    <row r="905">
      <c r="A905" s="167" t="inlineStr"/>
      <c r="B905" s="167" t="inlineStr">
        <is>
          <t>SUP</t>
        </is>
      </c>
      <c r="C905" s="168" t="inlineStr">
        <is>
          <t>유크램프</t>
        </is>
      </c>
      <c r="D905" s="168" t="inlineStr">
        <is>
          <t>공용</t>
        </is>
      </c>
      <c r="E905" s="167" t="inlineStr">
        <is>
          <t>EA</t>
        </is>
      </c>
      <c r="F905" s="170" t="n">
        <v>160</v>
      </c>
      <c r="G905" s="168" t="inlineStr">
        <is>
          <t>공정전체(160)</t>
        </is>
      </c>
      <c r="H905" s="167" t="inlineStr"/>
    </row>
    <row r="906">
      <c r="A906" s="167" t="inlineStr"/>
      <c r="B906" s="167" t="inlineStr">
        <is>
          <t>SUP</t>
        </is>
      </c>
      <c r="C906" s="168" t="inlineStr">
        <is>
          <t>전산볼트 M10 × 1m</t>
        </is>
      </c>
      <c r="D906" s="168" t="inlineStr">
        <is>
          <t>M10</t>
        </is>
      </c>
      <c r="E906" s="167" t="inlineStr">
        <is>
          <t>EA</t>
        </is>
      </c>
      <c r="F906" s="170" t="n">
        <v>160</v>
      </c>
      <c r="G906" s="168" t="inlineStr">
        <is>
          <t>공정전체(160)</t>
        </is>
      </c>
      <c r="H906" s="167" t="inlineStr"/>
    </row>
    <row r="907">
      <c r="A907" s="167" t="inlineStr"/>
      <c r="B907" s="167" t="inlineStr">
        <is>
          <t>CMN</t>
        </is>
      </c>
      <c r="C907" s="168" t="inlineStr">
        <is>
          <t>PVC 테이프</t>
        </is>
      </c>
      <c r="D907" s="168" t="inlineStr">
        <is>
          <t>19mm</t>
        </is>
      </c>
      <c r="E907" s="167" t="inlineStr">
        <is>
          <t>롤</t>
        </is>
      </c>
      <c r="F907" s="170" t="n">
        <v>3</v>
      </c>
      <c r="G907" s="168" t="inlineStr">
        <is>
          <t>공정전체(3)</t>
        </is>
      </c>
      <c r="H907" s="167" t="inlineStr"/>
    </row>
    <row r="908">
      <c r="A908" s="167" t="inlineStr"/>
      <c r="B908" s="167" t="inlineStr">
        <is>
          <t>CMN</t>
        </is>
      </c>
      <c r="C908" s="168" t="inlineStr">
        <is>
          <t>아울렛 박스 (4각)</t>
        </is>
      </c>
      <c r="D908" s="168" t="inlineStr">
        <is>
          <t>4각</t>
        </is>
      </c>
      <c r="E908" s="167" t="inlineStr">
        <is>
          <t>EA</t>
        </is>
      </c>
      <c r="F908" s="170" t="n">
        <v>30</v>
      </c>
      <c r="G908" s="168" t="inlineStr">
        <is>
          <t>공정전체(30)</t>
        </is>
      </c>
      <c r="H908" s="167" t="inlineStr"/>
    </row>
    <row r="909">
      <c r="A909" s="167" t="inlineStr"/>
      <c r="B909" s="167" t="inlineStr">
        <is>
          <t>CMN</t>
        </is>
      </c>
      <c r="C909" s="168" t="inlineStr">
        <is>
          <t>와이어 커넥터</t>
        </is>
      </c>
      <c r="D909" s="168" t="inlineStr">
        <is>
          <t>중</t>
        </is>
      </c>
      <c r="E909" s="167" t="inlineStr">
        <is>
          <t>셋</t>
        </is>
      </c>
      <c r="F909" s="170" t="n">
        <v>90</v>
      </c>
      <c r="G909" s="168" t="inlineStr">
        <is>
          <t>공정전체(90)</t>
        </is>
      </c>
      <c r="H909" s="167" t="inlineStr"/>
    </row>
    <row r="910">
      <c r="A910" s="167" t="inlineStr"/>
      <c r="B910" s="167" t="inlineStr">
        <is>
          <t>CMN</t>
        </is>
      </c>
      <c r="C910" s="168" t="inlineStr">
        <is>
          <t>풀박스</t>
        </is>
      </c>
      <c r="D910" s="168" t="inlineStr">
        <is>
          <t>200×200</t>
        </is>
      </c>
      <c r="E910" s="167" t="inlineStr">
        <is>
          <t>EA</t>
        </is>
      </c>
      <c r="F910" s="170" t="n">
        <v>7</v>
      </c>
      <c r="G910" s="168" t="inlineStr">
        <is>
          <t>공정전체(7)</t>
        </is>
      </c>
      <c r="H910" s="167" t="inlineStr"/>
    </row>
    <row r="912" ht="14.25" customHeight="1" s="78">
      <c r="A912" s="156" t="inlineStr">
        <is>
          <t>11. B1F 온수기공사</t>
        </is>
      </c>
      <c r="B912" s="174" t="n"/>
      <c r="C912" s="174" t="n"/>
      <c r="D912" s="174" t="n"/>
      <c r="E912" s="174" t="n"/>
      <c r="F912" s="174" t="n"/>
      <c r="G912" s="174" t="n"/>
      <c r="H912" s="175" t="n"/>
    </row>
    <row r="913" ht="14.25" customHeight="1" s="78">
      <c r="A913" s="158" t="inlineStr">
        <is>
          <t xml:space="preserve">  [1] P1 (온수펌프1)</t>
        </is>
      </c>
      <c r="B913" s="174" t="n"/>
      <c r="C913" s="174" t="n"/>
      <c r="D913" s="174" t="n"/>
      <c r="E913" s="174" t="n"/>
      <c r="F913" s="174" t="n"/>
      <c r="G913" s="174" t="n"/>
      <c r="H913" s="175" t="n"/>
    </row>
    <row r="914">
      <c r="A914" s="148" t="n">
        <v>1</v>
      </c>
      <c r="B914" s="148" t="inlineStr">
        <is>
          <t>MAT</t>
        </is>
      </c>
      <c r="C914" s="149" t="inlineStr">
        <is>
          <t>강제전선관 (ST)</t>
        </is>
      </c>
      <c r="D914" s="149" t="inlineStr">
        <is>
          <t>22mm</t>
        </is>
      </c>
      <c r="E914" s="148" t="inlineStr">
        <is>
          <t>m</t>
        </is>
      </c>
      <c r="F914" s="160" t="n">
        <v>5.2</v>
      </c>
      <c r="G914" s="149" t="inlineStr">
        <is>
          <t>길이산출 5.2m</t>
        </is>
      </c>
      <c r="H914" s="148" t="inlineStr">
        <is>
          <t>◆</t>
        </is>
      </c>
    </row>
    <row r="915">
      <c r="A915" s="148" t="n">
        <v>2</v>
      </c>
      <c r="B915" s="148" t="inlineStr">
        <is>
          <t>MAT</t>
        </is>
      </c>
      <c r="C915" s="149" t="inlineStr">
        <is>
          <t>HFIX 내열비닐</t>
        </is>
      </c>
      <c r="D915" s="149" t="inlineStr">
        <is>
          <t>4㎟ 3C</t>
        </is>
      </c>
      <c r="E915" s="148" t="inlineStr">
        <is>
          <t>m</t>
        </is>
      </c>
      <c r="F915" s="160" t="n">
        <v>15.6</v>
      </c>
      <c r="G915" s="149" t="inlineStr">
        <is>
          <t>배관5.2m×가닥수</t>
        </is>
      </c>
      <c r="H915" s="148" t="inlineStr">
        <is>
          <t>◆</t>
        </is>
      </c>
    </row>
    <row r="916">
      <c r="A916" s="161" t="inlineStr"/>
      <c r="B916" s="161" t="inlineStr">
        <is>
          <t>ACC</t>
        </is>
      </c>
      <c r="C916" s="162" t="inlineStr">
        <is>
          <t xml:space="preserve">  ↳ 커플링</t>
        </is>
      </c>
      <c r="D916" s="162" t="inlineStr">
        <is>
          <t>22mm</t>
        </is>
      </c>
      <c r="E916" s="161" t="inlineStr">
        <is>
          <t>EA</t>
        </is>
      </c>
      <c r="F916" s="163" t="n">
        <v>2</v>
      </c>
      <c r="G916" s="162" t="inlineStr">
        <is>
          <t>5.2m÷3.6</t>
        </is>
      </c>
      <c r="H916" s="161" t="inlineStr">
        <is>
          <t>◆</t>
        </is>
      </c>
    </row>
    <row r="917">
      <c r="A917" s="161" t="inlineStr"/>
      <c r="B917" s="161" t="inlineStr">
        <is>
          <t>ACC</t>
        </is>
      </c>
      <c r="C917" s="162" t="inlineStr">
        <is>
          <t xml:space="preserve">  ↳ 커넥터</t>
        </is>
      </c>
      <c r="D917" s="162" t="inlineStr">
        <is>
          <t>22mm</t>
        </is>
      </c>
      <c r="E917" s="161" t="inlineStr">
        <is>
          <t>EA</t>
        </is>
      </c>
      <c r="F917" s="163" t="n">
        <v>2</v>
      </c>
      <c r="G917" s="162" t="inlineStr">
        <is>
          <t>양단 2개</t>
        </is>
      </c>
      <c r="H917" s="161" t="inlineStr">
        <is>
          <t>◆</t>
        </is>
      </c>
    </row>
    <row r="918">
      <c r="A918" s="161" t="inlineStr"/>
      <c r="B918" s="161" t="inlineStr">
        <is>
          <t>ACC</t>
        </is>
      </c>
      <c r="C918" s="162" t="inlineStr">
        <is>
          <t xml:space="preserve">  ↳ 부싱</t>
        </is>
      </c>
      <c r="D918" s="162" t="inlineStr">
        <is>
          <t>22mm</t>
        </is>
      </c>
      <c r="E918" s="161" t="inlineStr">
        <is>
          <t>EA</t>
        </is>
      </c>
      <c r="F918" s="163" t="n">
        <v>2</v>
      </c>
      <c r="G918" s="162">
        <f>커넥터수</f>
        <v/>
      </c>
      <c r="H918" s="161" t="inlineStr">
        <is>
          <t>◆</t>
        </is>
      </c>
    </row>
    <row r="919">
      <c r="A919" s="161" t="inlineStr"/>
      <c r="B919" s="161" t="inlineStr">
        <is>
          <t>ACC</t>
        </is>
      </c>
      <c r="C919" s="162" t="inlineStr">
        <is>
          <t xml:space="preserve">  ↳ 로크너트</t>
        </is>
      </c>
      <c r="D919" s="162" t="inlineStr">
        <is>
          <t>22mm</t>
        </is>
      </c>
      <c r="E919" s="161" t="inlineStr">
        <is>
          <t>EA</t>
        </is>
      </c>
      <c r="F919" s="163" t="n">
        <v>4</v>
      </c>
      <c r="G919" s="162">
        <f>커넥터×2</f>
        <v/>
      </c>
      <c r="H919" s="161" t="inlineStr">
        <is>
          <t>◆</t>
        </is>
      </c>
    </row>
    <row r="920">
      <c r="A920" s="161" t="inlineStr"/>
      <c r="B920" s="161" t="inlineStr">
        <is>
          <t>ACC</t>
        </is>
      </c>
      <c r="C920" s="162" t="inlineStr">
        <is>
          <t xml:space="preserve">  ↳ 새들</t>
        </is>
      </c>
      <c r="D920" s="162" t="inlineStr">
        <is>
          <t>22mm</t>
        </is>
      </c>
      <c r="E920" s="161" t="inlineStr">
        <is>
          <t>EA</t>
        </is>
      </c>
      <c r="F920" s="163" t="n">
        <v>4</v>
      </c>
      <c r="G920" s="162" t="inlineStr">
        <is>
          <t>5.2m÷1.5</t>
        </is>
      </c>
      <c r="H920" s="161" t="inlineStr">
        <is>
          <t>◆</t>
        </is>
      </c>
    </row>
    <row r="921" ht="14.25" customHeight="1" s="78">
      <c r="A921" s="158" t="inlineStr">
        <is>
          <t xml:space="preserve">  [2] EW1 (전기온수기1)</t>
        </is>
      </c>
      <c r="B921" s="174" t="n"/>
      <c r="C921" s="174" t="n"/>
      <c r="D921" s="174" t="n"/>
      <c r="E921" s="174" t="n"/>
      <c r="F921" s="174" t="n"/>
      <c r="G921" s="174" t="n"/>
      <c r="H921" s="175" t="n"/>
    </row>
    <row r="922">
      <c r="A922" s="148" t="n">
        <v>1</v>
      </c>
      <c r="B922" s="148" t="inlineStr">
        <is>
          <t>MAT</t>
        </is>
      </c>
      <c r="C922" s="149" t="inlineStr">
        <is>
          <t>강제전선관 (ST)</t>
        </is>
      </c>
      <c r="D922" s="149" t="inlineStr">
        <is>
          <t>22mm</t>
        </is>
      </c>
      <c r="E922" s="148" t="inlineStr">
        <is>
          <t>m</t>
        </is>
      </c>
      <c r="F922" s="160" t="n">
        <v>3.9</v>
      </c>
      <c r="G922" s="149" t="inlineStr">
        <is>
          <t>길이산출 3.9m</t>
        </is>
      </c>
      <c r="H922" s="148" t="inlineStr">
        <is>
          <t>◆</t>
        </is>
      </c>
    </row>
    <row r="923">
      <c r="A923" s="148" t="n">
        <v>2</v>
      </c>
      <c r="B923" s="148" t="inlineStr">
        <is>
          <t>MAT</t>
        </is>
      </c>
      <c r="C923" s="149" t="inlineStr">
        <is>
          <t>HFIX 내열비닐</t>
        </is>
      </c>
      <c r="D923" s="149" t="inlineStr">
        <is>
          <t>4㎟ 3C</t>
        </is>
      </c>
      <c r="E923" s="148" t="inlineStr">
        <is>
          <t>m</t>
        </is>
      </c>
      <c r="F923" s="160" t="n">
        <v>11.7</v>
      </c>
      <c r="G923" s="149" t="inlineStr">
        <is>
          <t>배관3.9m×가닥수</t>
        </is>
      </c>
      <c r="H923" s="148" t="inlineStr">
        <is>
          <t>◆</t>
        </is>
      </c>
    </row>
    <row r="924">
      <c r="A924" s="161" t="inlineStr"/>
      <c r="B924" s="161" t="inlineStr">
        <is>
          <t>ACC</t>
        </is>
      </c>
      <c r="C924" s="162" t="inlineStr">
        <is>
          <t xml:space="preserve">  ↳ 커플링</t>
        </is>
      </c>
      <c r="D924" s="162" t="inlineStr">
        <is>
          <t>22mm</t>
        </is>
      </c>
      <c r="E924" s="161" t="inlineStr">
        <is>
          <t>EA</t>
        </is>
      </c>
      <c r="F924" s="163" t="n">
        <v>2</v>
      </c>
      <c r="G924" s="162" t="inlineStr">
        <is>
          <t>3.9m÷3.6</t>
        </is>
      </c>
      <c r="H924" s="161" t="inlineStr">
        <is>
          <t>◆</t>
        </is>
      </c>
    </row>
    <row r="925">
      <c r="A925" s="161" t="inlineStr"/>
      <c r="B925" s="161" t="inlineStr">
        <is>
          <t>ACC</t>
        </is>
      </c>
      <c r="C925" s="162" t="inlineStr">
        <is>
          <t xml:space="preserve">  ↳ 커넥터</t>
        </is>
      </c>
      <c r="D925" s="162" t="inlineStr">
        <is>
          <t>22mm</t>
        </is>
      </c>
      <c r="E925" s="161" t="inlineStr">
        <is>
          <t>EA</t>
        </is>
      </c>
      <c r="F925" s="163" t="n">
        <v>2</v>
      </c>
      <c r="G925" s="162" t="inlineStr">
        <is>
          <t>양단 2개</t>
        </is>
      </c>
      <c r="H925" s="161" t="inlineStr">
        <is>
          <t>◆</t>
        </is>
      </c>
    </row>
    <row r="926">
      <c r="A926" s="161" t="inlineStr"/>
      <c r="B926" s="161" t="inlineStr">
        <is>
          <t>ACC</t>
        </is>
      </c>
      <c r="C926" s="162" t="inlineStr">
        <is>
          <t xml:space="preserve">  ↳ 부싱</t>
        </is>
      </c>
      <c r="D926" s="162" t="inlineStr">
        <is>
          <t>22mm</t>
        </is>
      </c>
      <c r="E926" s="161" t="inlineStr">
        <is>
          <t>EA</t>
        </is>
      </c>
      <c r="F926" s="163" t="n">
        <v>2</v>
      </c>
      <c r="G926" s="162">
        <f>커넥터수</f>
        <v/>
      </c>
      <c r="H926" s="161" t="inlineStr">
        <is>
          <t>◆</t>
        </is>
      </c>
    </row>
    <row r="927">
      <c r="A927" s="161" t="inlineStr"/>
      <c r="B927" s="161" t="inlineStr">
        <is>
          <t>ACC</t>
        </is>
      </c>
      <c r="C927" s="162" t="inlineStr">
        <is>
          <t xml:space="preserve">  ↳ 로크너트</t>
        </is>
      </c>
      <c r="D927" s="162" t="inlineStr">
        <is>
          <t>22mm</t>
        </is>
      </c>
      <c r="E927" s="161" t="inlineStr">
        <is>
          <t>EA</t>
        </is>
      </c>
      <c r="F927" s="163" t="n">
        <v>4</v>
      </c>
      <c r="G927" s="162">
        <f>커넥터×2</f>
        <v/>
      </c>
      <c r="H927" s="161" t="inlineStr">
        <is>
          <t>◆</t>
        </is>
      </c>
    </row>
    <row r="928">
      <c r="A928" s="161" t="inlineStr"/>
      <c r="B928" s="161" t="inlineStr">
        <is>
          <t>ACC</t>
        </is>
      </c>
      <c r="C928" s="162" t="inlineStr">
        <is>
          <t xml:space="preserve">  ↳ 새들</t>
        </is>
      </c>
      <c r="D928" s="162" t="inlineStr">
        <is>
          <t>22mm</t>
        </is>
      </c>
      <c r="E928" s="161" t="inlineStr">
        <is>
          <t>EA</t>
        </is>
      </c>
      <c r="F928" s="163" t="n">
        <v>3</v>
      </c>
      <c r="G928" s="162" t="inlineStr">
        <is>
          <t>3.9m÷1.5</t>
        </is>
      </c>
      <c r="H928" s="161" t="inlineStr">
        <is>
          <t>◆</t>
        </is>
      </c>
    </row>
    <row r="929" ht="14.25" customHeight="1" s="78">
      <c r="A929" s="158" t="inlineStr">
        <is>
          <t xml:space="preserve">  [3] EW2 (전기온수기2)</t>
        </is>
      </c>
      <c r="B929" s="174" t="n"/>
      <c r="C929" s="174" t="n"/>
      <c r="D929" s="174" t="n"/>
      <c r="E929" s="174" t="n"/>
      <c r="F929" s="174" t="n"/>
      <c r="G929" s="174" t="n"/>
      <c r="H929" s="175" t="n"/>
    </row>
    <row r="930">
      <c r="A930" s="148" t="n">
        <v>1</v>
      </c>
      <c r="B930" s="148" t="inlineStr">
        <is>
          <t>MAT</t>
        </is>
      </c>
      <c r="C930" s="149" t="inlineStr">
        <is>
          <t>강제전선관 (ST)</t>
        </is>
      </c>
      <c r="D930" s="149" t="inlineStr">
        <is>
          <t>22mm</t>
        </is>
      </c>
      <c r="E930" s="148" t="inlineStr">
        <is>
          <t>m</t>
        </is>
      </c>
      <c r="F930" s="160" t="n">
        <v>3.9</v>
      </c>
      <c r="G930" s="149" t="inlineStr">
        <is>
          <t>길이산출 3.9m</t>
        </is>
      </c>
      <c r="H930" s="148" t="inlineStr">
        <is>
          <t>◆</t>
        </is>
      </c>
    </row>
    <row r="931">
      <c r="A931" s="148" t="n">
        <v>2</v>
      </c>
      <c r="B931" s="148" t="inlineStr">
        <is>
          <t>MAT</t>
        </is>
      </c>
      <c r="C931" s="149" t="inlineStr">
        <is>
          <t>HFIX 내열비닐</t>
        </is>
      </c>
      <c r="D931" s="149" t="inlineStr">
        <is>
          <t>4㎟ 3C</t>
        </is>
      </c>
      <c r="E931" s="148" t="inlineStr">
        <is>
          <t>m</t>
        </is>
      </c>
      <c r="F931" s="160" t="n">
        <v>11.7</v>
      </c>
      <c r="G931" s="149" t="inlineStr">
        <is>
          <t>배관3.9m×가닥수</t>
        </is>
      </c>
      <c r="H931" s="148" t="inlineStr">
        <is>
          <t>◆</t>
        </is>
      </c>
    </row>
    <row r="932">
      <c r="A932" s="161" t="inlineStr"/>
      <c r="B932" s="161" t="inlineStr">
        <is>
          <t>ACC</t>
        </is>
      </c>
      <c r="C932" s="162" t="inlineStr">
        <is>
          <t xml:space="preserve">  ↳ 커플링</t>
        </is>
      </c>
      <c r="D932" s="162" t="inlineStr">
        <is>
          <t>22mm</t>
        </is>
      </c>
      <c r="E932" s="161" t="inlineStr">
        <is>
          <t>EA</t>
        </is>
      </c>
      <c r="F932" s="163" t="n">
        <v>2</v>
      </c>
      <c r="G932" s="162" t="inlineStr">
        <is>
          <t>3.9m÷3.6</t>
        </is>
      </c>
      <c r="H932" s="161" t="inlineStr">
        <is>
          <t>◆</t>
        </is>
      </c>
    </row>
    <row r="933">
      <c r="A933" s="161" t="inlineStr"/>
      <c r="B933" s="161" t="inlineStr">
        <is>
          <t>ACC</t>
        </is>
      </c>
      <c r="C933" s="162" t="inlineStr">
        <is>
          <t xml:space="preserve">  ↳ 커넥터</t>
        </is>
      </c>
      <c r="D933" s="162" t="inlineStr">
        <is>
          <t>22mm</t>
        </is>
      </c>
      <c r="E933" s="161" t="inlineStr">
        <is>
          <t>EA</t>
        </is>
      </c>
      <c r="F933" s="163" t="n">
        <v>2</v>
      </c>
      <c r="G933" s="162" t="inlineStr">
        <is>
          <t>양단 2개</t>
        </is>
      </c>
      <c r="H933" s="161" t="inlineStr">
        <is>
          <t>◆</t>
        </is>
      </c>
    </row>
    <row r="934">
      <c r="A934" s="161" t="inlineStr"/>
      <c r="B934" s="161" t="inlineStr">
        <is>
          <t>ACC</t>
        </is>
      </c>
      <c r="C934" s="162" t="inlineStr">
        <is>
          <t xml:space="preserve">  ↳ 부싱</t>
        </is>
      </c>
      <c r="D934" s="162" t="inlineStr">
        <is>
          <t>22mm</t>
        </is>
      </c>
      <c r="E934" s="161" t="inlineStr">
        <is>
          <t>EA</t>
        </is>
      </c>
      <c r="F934" s="163" t="n">
        <v>2</v>
      </c>
      <c r="G934" s="162">
        <f>커넥터수</f>
        <v/>
      </c>
      <c r="H934" s="161" t="inlineStr">
        <is>
          <t>◆</t>
        </is>
      </c>
    </row>
    <row r="935">
      <c r="A935" s="161" t="inlineStr"/>
      <c r="B935" s="161" t="inlineStr">
        <is>
          <t>ACC</t>
        </is>
      </c>
      <c r="C935" s="162" t="inlineStr">
        <is>
          <t xml:space="preserve">  ↳ 로크너트</t>
        </is>
      </c>
      <c r="D935" s="162" t="inlineStr">
        <is>
          <t>22mm</t>
        </is>
      </c>
      <c r="E935" s="161" t="inlineStr">
        <is>
          <t>EA</t>
        </is>
      </c>
      <c r="F935" s="163" t="n">
        <v>4</v>
      </c>
      <c r="G935" s="162">
        <f>커넥터×2</f>
        <v/>
      </c>
      <c r="H935" s="161" t="inlineStr">
        <is>
          <t>◆</t>
        </is>
      </c>
    </row>
    <row r="936">
      <c r="A936" s="161" t="inlineStr"/>
      <c r="B936" s="161" t="inlineStr">
        <is>
          <t>ACC</t>
        </is>
      </c>
      <c r="C936" s="162" t="inlineStr">
        <is>
          <t xml:space="preserve">  ↳ 새들</t>
        </is>
      </c>
      <c r="D936" s="162" t="inlineStr">
        <is>
          <t>22mm</t>
        </is>
      </c>
      <c r="E936" s="161" t="inlineStr">
        <is>
          <t>EA</t>
        </is>
      </c>
      <c r="F936" s="163" t="n">
        <v>3</v>
      </c>
      <c r="G936" s="162" t="inlineStr">
        <is>
          <t>3.9m÷1.5</t>
        </is>
      </c>
      <c r="H936" s="161" t="inlineStr">
        <is>
          <t>◆</t>
        </is>
      </c>
    </row>
    <row r="937" ht="14.25" customHeight="1" s="78">
      <c r="A937" s="158" t="inlineStr">
        <is>
          <t xml:space="preserve">  [4] EW3 (전기온수기3)</t>
        </is>
      </c>
      <c r="B937" s="174" t="n"/>
      <c r="C937" s="174" t="n"/>
      <c r="D937" s="174" t="n"/>
      <c r="E937" s="174" t="n"/>
      <c r="F937" s="174" t="n"/>
      <c r="G937" s="174" t="n"/>
      <c r="H937" s="175" t="n"/>
    </row>
    <row r="938">
      <c r="A938" s="148" t="n">
        <v>1</v>
      </c>
      <c r="B938" s="148" t="inlineStr">
        <is>
          <t>MAT</t>
        </is>
      </c>
      <c r="C938" s="149" t="inlineStr">
        <is>
          <t>강제전선관 (ST)</t>
        </is>
      </c>
      <c r="D938" s="149" t="inlineStr">
        <is>
          <t>22mm</t>
        </is>
      </c>
      <c r="E938" s="148" t="inlineStr">
        <is>
          <t>m</t>
        </is>
      </c>
      <c r="F938" s="160" t="n">
        <v>3.9</v>
      </c>
      <c r="G938" s="149" t="inlineStr">
        <is>
          <t>길이산출 3.9m</t>
        </is>
      </c>
      <c r="H938" s="148" t="inlineStr">
        <is>
          <t>◆</t>
        </is>
      </c>
    </row>
    <row r="939">
      <c r="A939" s="148" t="n">
        <v>2</v>
      </c>
      <c r="B939" s="148" t="inlineStr">
        <is>
          <t>MAT</t>
        </is>
      </c>
      <c r="C939" s="149" t="inlineStr">
        <is>
          <t>HFIX 내열비닐</t>
        </is>
      </c>
      <c r="D939" s="149" t="inlineStr">
        <is>
          <t>4㎟ 3C</t>
        </is>
      </c>
      <c r="E939" s="148" t="inlineStr">
        <is>
          <t>m</t>
        </is>
      </c>
      <c r="F939" s="160" t="n">
        <v>11.7</v>
      </c>
      <c r="G939" s="149" t="inlineStr">
        <is>
          <t>배관3.9m×가닥수</t>
        </is>
      </c>
      <c r="H939" s="148" t="inlineStr">
        <is>
          <t>◆</t>
        </is>
      </c>
    </row>
    <row r="940">
      <c r="A940" s="161" t="inlineStr"/>
      <c r="B940" s="161" t="inlineStr">
        <is>
          <t>ACC</t>
        </is>
      </c>
      <c r="C940" s="162" t="inlineStr">
        <is>
          <t xml:space="preserve">  ↳ 커플링</t>
        </is>
      </c>
      <c r="D940" s="162" t="inlineStr">
        <is>
          <t>22mm</t>
        </is>
      </c>
      <c r="E940" s="161" t="inlineStr">
        <is>
          <t>EA</t>
        </is>
      </c>
      <c r="F940" s="163" t="n">
        <v>2</v>
      </c>
      <c r="G940" s="162" t="inlineStr">
        <is>
          <t>3.9m÷3.6</t>
        </is>
      </c>
      <c r="H940" s="161" t="inlineStr">
        <is>
          <t>◆</t>
        </is>
      </c>
    </row>
    <row r="941">
      <c r="A941" s="161" t="inlineStr"/>
      <c r="B941" s="161" t="inlineStr">
        <is>
          <t>ACC</t>
        </is>
      </c>
      <c r="C941" s="162" t="inlineStr">
        <is>
          <t xml:space="preserve">  ↳ 커넥터</t>
        </is>
      </c>
      <c r="D941" s="162" t="inlineStr">
        <is>
          <t>22mm</t>
        </is>
      </c>
      <c r="E941" s="161" t="inlineStr">
        <is>
          <t>EA</t>
        </is>
      </c>
      <c r="F941" s="163" t="n">
        <v>2</v>
      </c>
      <c r="G941" s="162" t="inlineStr">
        <is>
          <t>양단 2개</t>
        </is>
      </c>
      <c r="H941" s="161" t="inlineStr">
        <is>
          <t>◆</t>
        </is>
      </c>
    </row>
    <row r="942">
      <c r="A942" s="161" t="inlineStr"/>
      <c r="B942" s="161" t="inlineStr">
        <is>
          <t>ACC</t>
        </is>
      </c>
      <c r="C942" s="162" t="inlineStr">
        <is>
          <t xml:space="preserve">  ↳ 부싱</t>
        </is>
      </c>
      <c r="D942" s="162" t="inlineStr">
        <is>
          <t>22mm</t>
        </is>
      </c>
      <c r="E942" s="161" t="inlineStr">
        <is>
          <t>EA</t>
        </is>
      </c>
      <c r="F942" s="163" t="n">
        <v>2</v>
      </c>
      <c r="G942" s="162">
        <f>커넥터수</f>
        <v/>
      </c>
      <c r="H942" s="161" t="inlineStr">
        <is>
          <t>◆</t>
        </is>
      </c>
    </row>
    <row r="943">
      <c r="A943" s="161" t="inlineStr"/>
      <c r="B943" s="161" t="inlineStr">
        <is>
          <t>ACC</t>
        </is>
      </c>
      <c r="C943" s="162" t="inlineStr">
        <is>
          <t xml:space="preserve">  ↳ 로크너트</t>
        </is>
      </c>
      <c r="D943" s="162" t="inlineStr">
        <is>
          <t>22mm</t>
        </is>
      </c>
      <c r="E943" s="161" t="inlineStr">
        <is>
          <t>EA</t>
        </is>
      </c>
      <c r="F943" s="163" t="n">
        <v>4</v>
      </c>
      <c r="G943" s="162">
        <f>커넥터×2</f>
        <v/>
      </c>
      <c r="H943" s="161" t="inlineStr">
        <is>
          <t>◆</t>
        </is>
      </c>
    </row>
    <row r="944">
      <c r="A944" s="161" t="inlineStr"/>
      <c r="B944" s="161" t="inlineStr">
        <is>
          <t>ACC</t>
        </is>
      </c>
      <c r="C944" s="162" t="inlineStr">
        <is>
          <t xml:space="preserve">  ↳ 새들</t>
        </is>
      </c>
      <c r="D944" s="162" t="inlineStr">
        <is>
          <t>22mm</t>
        </is>
      </c>
      <c r="E944" s="161" t="inlineStr">
        <is>
          <t>EA</t>
        </is>
      </c>
      <c r="F944" s="163" t="n">
        <v>3</v>
      </c>
      <c r="G944" s="162" t="inlineStr">
        <is>
          <t>3.9m÷1.5</t>
        </is>
      </c>
      <c r="H944" s="161" t="inlineStr">
        <is>
          <t>◆</t>
        </is>
      </c>
    </row>
    <row r="945" ht="14.25" customHeight="1" s="78">
      <c r="A945" s="158" t="inlineStr">
        <is>
          <t xml:space="preserve">  [5] EW4 (전기온수기4)</t>
        </is>
      </c>
      <c r="B945" s="174" t="n"/>
      <c r="C945" s="174" t="n"/>
      <c r="D945" s="174" t="n"/>
      <c r="E945" s="174" t="n"/>
      <c r="F945" s="174" t="n"/>
      <c r="G945" s="174" t="n"/>
      <c r="H945" s="175" t="n"/>
    </row>
    <row r="946">
      <c r="A946" s="148" t="n">
        <v>1</v>
      </c>
      <c r="B946" s="148" t="inlineStr">
        <is>
          <t>MAT</t>
        </is>
      </c>
      <c r="C946" s="149" t="inlineStr">
        <is>
          <t>강제전선관 (ST)</t>
        </is>
      </c>
      <c r="D946" s="149" t="inlineStr">
        <is>
          <t>22mm</t>
        </is>
      </c>
      <c r="E946" s="148" t="inlineStr">
        <is>
          <t>m</t>
        </is>
      </c>
      <c r="F946" s="160" t="n">
        <v>3.9</v>
      </c>
      <c r="G946" s="149" t="inlineStr">
        <is>
          <t>길이산출 3.9m</t>
        </is>
      </c>
      <c r="H946" s="148" t="inlineStr">
        <is>
          <t>◆</t>
        </is>
      </c>
    </row>
    <row r="947">
      <c r="A947" s="148" t="n">
        <v>2</v>
      </c>
      <c r="B947" s="148" t="inlineStr">
        <is>
          <t>MAT</t>
        </is>
      </c>
      <c r="C947" s="149" t="inlineStr">
        <is>
          <t>HFIX 내열비닐</t>
        </is>
      </c>
      <c r="D947" s="149" t="inlineStr">
        <is>
          <t>4㎟ 3C</t>
        </is>
      </c>
      <c r="E947" s="148" t="inlineStr">
        <is>
          <t>m</t>
        </is>
      </c>
      <c r="F947" s="160" t="n">
        <v>11.7</v>
      </c>
      <c r="G947" s="149" t="inlineStr">
        <is>
          <t>배관3.9m×가닥수</t>
        </is>
      </c>
      <c r="H947" s="148" t="inlineStr">
        <is>
          <t>◆</t>
        </is>
      </c>
    </row>
    <row r="948">
      <c r="A948" s="161" t="inlineStr"/>
      <c r="B948" s="161" t="inlineStr">
        <is>
          <t>ACC</t>
        </is>
      </c>
      <c r="C948" s="162" t="inlineStr">
        <is>
          <t xml:space="preserve">  ↳ 커플링</t>
        </is>
      </c>
      <c r="D948" s="162" t="inlineStr">
        <is>
          <t>22mm</t>
        </is>
      </c>
      <c r="E948" s="161" t="inlineStr">
        <is>
          <t>EA</t>
        </is>
      </c>
      <c r="F948" s="163" t="n">
        <v>2</v>
      </c>
      <c r="G948" s="162" t="inlineStr">
        <is>
          <t>3.9m÷3.6</t>
        </is>
      </c>
      <c r="H948" s="161" t="inlineStr">
        <is>
          <t>◆</t>
        </is>
      </c>
    </row>
    <row r="949">
      <c r="A949" s="161" t="inlineStr"/>
      <c r="B949" s="161" t="inlineStr">
        <is>
          <t>ACC</t>
        </is>
      </c>
      <c r="C949" s="162" t="inlineStr">
        <is>
          <t xml:space="preserve">  ↳ 커넥터</t>
        </is>
      </c>
      <c r="D949" s="162" t="inlineStr">
        <is>
          <t>22mm</t>
        </is>
      </c>
      <c r="E949" s="161" t="inlineStr">
        <is>
          <t>EA</t>
        </is>
      </c>
      <c r="F949" s="163" t="n">
        <v>2</v>
      </c>
      <c r="G949" s="162" t="inlineStr">
        <is>
          <t>양단 2개</t>
        </is>
      </c>
      <c r="H949" s="161" t="inlineStr">
        <is>
          <t>◆</t>
        </is>
      </c>
    </row>
    <row r="950">
      <c r="A950" s="161" t="inlineStr"/>
      <c r="B950" s="161" t="inlineStr">
        <is>
          <t>ACC</t>
        </is>
      </c>
      <c r="C950" s="162" t="inlineStr">
        <is>
          <t xml:space="preserve">  ↳ 부싱</t>
        </is>
      </c>
      <c r="D950" s="162" t="inlineStr">
        <is>
          <t>22mm</t>
        </is>
      </c>
      <c r="E950" s="161" t="inlineStr">
        <is>
          <t>EA</t>
        </is>
      </c>
      <c r="F950" s="163" t="n">
        <v>2</v>
      </c>
      <c r="G950" s="162">
        <f>커넥터수</f>
        <v/>
      </c>
      <c r="H950" s="161" t="inlineStr">
        <is>
          <t>◆</t>
        </is>
      </c>
    </row>
    <row r="951">
      <c r="A951" s="161" t="inlineStr"/>
      <c r="B951" s="161" t="inlineStr">
        <is>
          <t>ACC</t>
        </is>
      </c>
      <c r="C951" s="162" t="inlineStr">
        <is>
          <t xml:space="preserve">  ↳ 로크너트</t>
        </is>
      </c>
      <c r="D951" s="162" t="inlineStr">
        <is>
          <t>22mm</t>
        </is>
      </c>
      <c r="E951" s="161" t="inlineStr">
        <is>
          <t>EA</t>
        </is>
      </c>
      <c r="F951" s="163" t="n">
        <v>4</v>
      </c>
      <c r="G951" s="162">
        <f>커넥터×2</f>
        <v/>
      </c>
      <c r="H951" s="161" t="inlineStr">
        <is>
          <t>◆</t>
        </is>
      </c>
    </row>
    <row r="952">
      <c r="A952" s="161" t="inlineStr"/>
      <c r="B952" s="161" t="inlineStr">
        <is>
          <t>ACC</t>
        </is>
      </c>
      <c r="C952" s="162" t="inlineStr">
        <is>
          <t xml:space="preserve">  ↳ 새들</t>
        </is>
      </c>
      <c r="D952" s="162" t="inlineStr">
        <is>
          <t>22mm</t>
        </is>
      </c>
      <c r="E952" s="161" t="inlineStr">
        <is>
          <t>EA</t>
        </is>
      </c>
      <c r="F952" s="163" t="n">
        <v>3</v>
      </c>
      <c r="G952" s="162" t="inlineStr">
        <is>
          <t>3.9m÷1.5</t>
        </is>
      </c>
      <c r="H952" s="161" t="inlineStr">
        <is>
          <t>◆</t>
        </is>
      </c>
    </row>
    <row r="953" ht="14.25" customHeight="1" s="78">
      <c r="A953" s="158" t="inlineStr">
        <is>
          <t xml:space="preserve">  [6] P2 (온수펌프2)</t>
        </is>
      </c>
      <c r="B953" s="174" t="n"/>
      <c r="C953" s="174" t="n"/>
      <c r="D953" s="174" t="n"/>
      <c r="E953" s="174" t="n"/>
      <c r="F953" s="174" t="n"/>
      <c r="G953" s="174" t="n"/>
      <c r="H953" s="175" t="n"/>
    </row>
    <row r="954">
      <c r="A954" s="148" t="n">
        <v>1</v>
      </c>
      <c r="B954" s="148" t="inlineStr">
        <is>
          <t>MAT</t>
        </is>
      </c>
      <c r="C954" s="149" t="inlineStr">
        <is>
          <t>강제전선관 (ST)</t>
        </is>
      </c>
      <c r="D954" s="149" t="inlineStr">
        <is>
          <t>22mm</t>
        </is>
      </c>
      <c r="E954" s="148" t="inlineStr">
        <is>
          <t>m</t>
        </is>
      </c>
      <c r="F954" s="160" t="n">
        <v>5.2</v>
      </c>
      <c r="G954" s="149" t="inlineStr">
        <is>
          <t>길이산출 5.2m</t>
        </is>
      </c>
      <c r="H954" s="148" t="inlineStr">
        <is>
          <t>◆</t>
        </is>
      </c>
    </row>
    <row r="955">
      <c r="A955" s="148" t="n">
        <v>2</v>
      </c>
      <c r="B955" s="148" t="inlineStr">
        <is>
          <t>MAT</t>
        </is>
      </c>
      <c r="C955" s="149" t="inlineStr">
        <is>
          <t>HFIX 내열비닐</t>
        </is>
      </c>
      <c r="D955" s="149" t="inlineStr">
        <is>
          <t>4㎟ 3C</t>
        </is>
      </c>
      <c r="E955" s="148" t="inlineStr">
        <is>
          <t>m</t>
        </is>
      </c>
      <c r="F955" s="160" t="n">
        <v>15.6</v>
      </c>
      <c r="G955" s="149" t="inlineStr">
        <is>
          <t>배관5.2m×가닥수</t>
        </is>
      </c>
      <c r="H955" s="148" t="inlineStr">
        <is>
          <t>◆</t>
        </is>
      </c>
    </row>
    <row r="956">
      <c r="A956" s="161" t="inlineStr"/>
      <c r="B956" s="161" t="inlineStr">
        <is>
          <t>ACC</t>
        </is>
      </c>
      <c r="C956" s="162" t="inlineStr">
        <is>
          <t xml:space="preserve">  ↳ 커플링</t>
        </is>
      </c>
      <c r="D956" s="162" t="inlineStr">
        <is>
          <t>22mm</t>
        </is>
      </c>
      <c r="E956" s="161" t="inlineStr">
        <is>
          <t>EA</t>
        </is>
      </c>
      <c r="F956" s="163" t="n">
        <v>2</v>
      </c>
      <c r="G956" s="162" t="inlineStr">
        <is>
          <t>5.2m÷3.6</t>
        </is>
      </c>
      <c r="H956" s="161" t="inlineStr">
        <is>
          <t>◆</t>
        </is>
      </c>
    </row>
    <row r="957">
      <c r="A957" s="161" t="inlineStr"/>
      <c r="B957" s="161" t="inlineStr">
        <is>
          <t>ACC</t>
        </is>
      </c>
      <c r="C957" s="162" t="inlineStr">
        <is>
          <t xml:space="preserve">  ↳ 커넥터</t>
        </is>
      </c>
      <c r="D957" s="162" t="inlineStr">
        <is>
          <t>22mm</t>
        </is>
      </c>
      <c r="E957" s="161" t="inlineStr">
        <is>
          <t>EA</t>
        </is>
      </c>
      <c r="F957" s="163" t="n">
        <v>2</v>
      </c>
      <c r="G957" s="162" t="inlineStr">
        <is>
          <t>양단 2개</t>
        </is>
      </c>
      <c r="H957" s="161" t="inlineStr">
        <is>
          <t>◆</t>
        </is>
      </c>
    </row>
    <row r="958">
      <c r="A958" s="161" t="inlineStr"/>
      <c r="B958" s="161" t="inlineStr">
        <is>
          <t>ACC</t>
        </is>
      </c>
      <c r="C958" s="162" t="inlineStr">
        <is>
          <t xml:space="preserve">  ↳ 부싱</t>
        </is>
      </c>
      <c r="D958" s="162" t="inlineStr">
        <is>
          <t>22mm</t>
        </is>
      </c>
      <c r="E958" s="161" t="inlineStr">
        <is>
          <t>EA</t>
        </is>
      </c>
      <c r="F958" s="163" t="n">
        <v>2</v>
      </c>
      <c r="G958" s="162">
        <f>커넥터수</f>
        <v/>
      </c>
      <c r="H958" s="161" t="inlineStr">
        <is>
          <t>◆</t>
        </is>
      </c>
    </row>
    <row r="959">
      <c r="A959" s="161" t="inlineStr"/>
      <c r="B959" s="161" t="inlineStr">
        <is>
          <t>ACC</t>
        </is>
      </c>
      <c r="C959" s="162" t="inlineStr">
        <is>
          <t xml:space="preserve">  ↳ 로크너트</t>
        </is>
      </c>
      <c r="D959" s="162" t="inlineStr">
        <is>
          <t>22mm</t>
        </is>
      </c>
      <c r="E959" s="161" t="inlineStr">
        <is>
          <t>EA</t>
        </is>
      </c>
      <c r="F959" s="163" t="n">
        <v>4</v>
      </c>
      <c r="G959" s="162">
        <f>커넥터×2</f>
        <v/>
      </c>
      <c r="H959" s="161" t="inlineStr">
        <is>
          <t>◆</t>
        </is>
      </c>
    </row>
    <row r="960">
      <c r="A960" s="161" t="inlineStr"/>
      <c r="B960" s="161" t="inlineStr">
        <is>
          <t>ACC</t>
        </is>
      </c>
      <c r="C960" s="162" t="inlineStr">
        <is>
          <t xml:space="preserve">  ↳ 새들</t>
        </is>
      </c>
      <c r="D960" s="162" t="inlineStr">
        <is>
          <t>22mm</t>
        </is>
      </c>
      <c r="E960" s="161" t="inlineStr">
        <is>
          <t>EA</t>
        </is>
      </c>
      <c r="F960" s="163" t="n">
        <v>4</v>
      </c>
      <c r="G960" s="162" t="inlineStr">
        <is>
          <t>5.2m÷1.5</t>
        </is>
      </c>
      <c r="H960" s="161" t="inlineStr">
        <is>
          <t>◆</t>
        </is>
      </c>
    </row>
    <row r="961">
      <c r="A961" s="161" t="inlineStr"/>
      <c r="B961" s="161" t="inlineStr">
        <is>
          <t>SUP</t>
        </is>
      </c>
      <c r="C961" s="162" t="inlineStr">
        <is>
          <t>전산볼트 M10 × 1m</t>
        </is>
      </c>
      <c r="D961" s="162" t="inlineStr">
        <is>
          <t>M10</t>
        </is>
      </c>
      <c r="E961" s="161" t="inlineStr">
        <is>
          <t>EA</t>
        </is>
      </c>
      <c r="F961" s="163" t="n">
        <v>18</v>
      </c>
      <c r="G961" s="162" t="inlineStr">
        <is>
          <t>총배관26.0m÷1.5</t>
        </is>
      </c>
      <c r="H961" s="161" t="inlineStr">
        <is>
          <t>◆</t>
        </is>
      </c>
    </row>
    <row r="962">
      <c r="A962" s="161" t="inlineStr"/>
      <c r="B962" s="161" t="inlineStr">
        <is>
          <t>SUP</t>
        </is>
      </c>
      <c r="C962" s="162" t="inlineStr">
        <is>
          <t>유크램프</t>
        </is>
      </c>
      <c r="D962" s="162" t="inlineStr">
        <is>
          <t>공용</t>
        </is>
      </c>
      <c r="E962" s="161" t="inlineStr">
        <is>
          <t>EA</t>
        </is>
      </c>
      <c r="F962" s="163" t="n">
        <v>18</v>
      </c>
      <c r="G962" s="162" t="inlineStr">
        <is>
          <t>총배관26.0m÷1.5</t>
        </is>
      </c>
      <c r="H962" s="161" t="inlineStr">
        <is>
          <t>◆</t>
        </is>
      </c>
    </row>
    <row r="963">
      <c r="A963" s="161" t="inlineStr"/>
      <c r="B963" s="161" t="inlineStr">
        <is>
          <t>CMN</t>
        </is>
      </c>
      <c r="C963" s="162" t="inlineStr">
        <is>
          <t>아울렛 박스 (4각)</t>
        </is>
      </c>
      <c r="D963" s="162" t="inlineStr">
        <is>
          <t>4각</t>
        </is>
      </c>
      <c r="E963" s="161" t="inlineStr">
        <is>
          <t>EA</t>
        </is>
      </c>
      <c r="F963" s="163" t="n">
        <v>12</v>
      </c>
      <c r="G963" s="162" t="inlineStr">
        <is>
          <t>접속점12개</t>
        </is>
      </c>
      <c r="H963" s="161" t="inlineStr">
        <is>
          <t>▲</t>
        </is>
      </c>
    </row>
    <row r="964">
      <c r="A964" s="161" t="inlineStr"/>
      <c r="B964" s="161" t="inlineStr">
        <is>
          <t>CMN</t>
        </is>
      </c>
      <c r="C964" s="162" t="inlineStr">
        <is>
          <t>풀박스</t>
        </is>
      </c>
      <c r="D964" s="162" t="inlineStr">
        <is>
          <t>200×200</t>
        </is>
      </c>
      <c r="E964" s="161" t="inlineStr">
        <is>
          <t>EA</t>
        </is>
      </c>
      <c r="F964" s="163" t="n">
        <v>1</v>
      </c>
      <c r="G964" s="162" t="inlineStr">
        <is>
          <t>26.0m÷30</t>
        </is>
      </c>
      <c r="H964" s="161" t="inlineStr">
        <is>
          <t>▲</t>
        </is>
      </c>
    </row>
    <row r="965">
      <c r="A965" s="161" t="inlineStr"/>
      <c r="B965" s="161" t="inlineStr">
        <is>
          <t>CMN</t>
        </is>
      </c>
      <c r="C965" s="162" t="inlineStr">
        <is>
          <t>와이어 커넥터</t>
        </is>
      </c>
      <c r="D965" s="162" t="inlineStr">
        <is>
          <t>중</t>
        </is>
      </c>
      <c r="E965" s="161" t="inlineStr">
        <is>
          <t>셋</t>
        </is>
      </c>
      <c r="F965" s="163" t="n">
        <v>36</v>
      </c>
      <c r="G965" s="162" t="inlineStr">
        <is>
          <t>접속점12×3</t>
        </is>
      </c>
      <c r="H965" s="161" t="inlineStr">
        <is>
          <t>▲</t>
        </is>
      </c>
    </row>
    <row r="966">
      <c r="A966" s="161" t="inlineStr"/>
      <c r="B966" s="161" t="inlineStr">
        <is>
          <t>CMN</t>
        </is>
      </c>
      <c r="C966" s="162" t="inlineStr">
        <is>
          <t>PVC 테이프</t>
        </is>
      </c>
      <c r="D966" s="162" t="inlineStr">
        <is>
          <t>19mm</t>
        </is>
      </c>
      <c r="E966" s="161" t="inlineStr">
        <is>
          <t>롤</t>
        </is>
      </c>
      <c r="F966" s="163" t="n">
        <v>2</v>
      </c>
      <c r="G966" s="162" t="inlineStr">
        <is>
          <t>접속점12÷10</t>
        </is>
      </c>
      <c r="H966" s="161" t="inlineStr">
        <is>
          <t>▲</t>
        </is>
      </c>
    </row>
    <row r="967" ht="14.25" customHeight="1" s="78">
      <c r="A967" s="165" t="inlineStr">
        <is>
          <t>( B1F 온수기공사 소계 )</t>
        </is>
      </c>
      <c r="B967" s="174" t="n"/>
      <c r="C967" s="174" t="n"/>
      <c r="D967" s="174" t="n"/>
      <c r="E967" s="174" t="n"/>
      <c r="F967" s="174" t="n"/>
      <c r="G967" s="174" t="n"/>
      <c r="H967" s="175" t="n"/>
    </row>
    <row r="968">
      <c r="A968" s="167" t="inlineStr"/>
      <c r="B968" s="167" t="inlineStr">
        <is>
          <t>MAT</t>
        </is>
      </c>
      <c r="C968" s="168" t="inlineStr">
        <is>
          <t>HFIX 내열비닐</t>
        </is>
      </c>
      <c r="D968" s="168" t="inlineStr">
        <is>
          <t>4㎟ 3C</t>
        </is>
      </c>
      <c r="E968" s="167" t="inlineStr">
        <is>
          <t>m</t>
        </is>
      </c>
      <c r="F968" s="169" t="n">
        <v>78</v>
      </c>
      <c r="G968" s="168" t="inlineStr">
        <is>
          <t>1(15.6)+2(11.7)+3(11.7)+4(11.7)+5(11.7)+6(15.6)</t>
        </is>
      </c>
      <c r="H968" s="167" t="inlineStr"/>
    </row>
    <row r="969">
      <c r="A969" s="167" t="inlineStr"/>
      <c r="B969" s="167" t="inlineStr">
        <is>
          <t>MAT</t>
        </is>
      </c>
      <c r="C969" s="168" t="inlineStr">
        <is>
          <t>강제전선관 (ST)</t>
        </is>
      </c>
      <c r="D969" s="168" t="inlineStr">
        <is>
          <t>22mm</t>
        </is>
      </c>
      <c r="E969" s="167" t="inlineStr">
        <is>
          <t>m</t>
        </is>
      </c>
      <c r="F969" s="169" t="n">
        <v>26</v>
      </c>
      <c r="G969" s="168" t="inlineStr">
        <is>
          <t>1(5.2)+2(3.9)+3(3.9)+4(3.9)+5(3.9)+6(5.2)</t>
        </is>
      </c>
      <c r="H969" s="167" t="inlineStr"/>
    </row>
    <row r="970">
      <c r="A970" s="167" t="inlineStr"/>
      <c r="B970" s="167" t="inlineStr">
        <is>
          <t>ACC</t>
        </is>
      </c>
      <c r="C970" s="168" t="inlineStr">
        <is>
          <t>로크너트</t>
        </is>
      </c>
      <c r="D970" s="168" t="inlineStr">
        <is>
          <t>22mm</t>
        </is>
      </c>
      <c r="E970" s="167" t="inlineStr">
        <is>
          <t>EA</t>
        </is>
      </c>
      <c r="F970" s="170" t="n">
        <v>24</v>
      </c>
      <c r="G970" s="168" t="inlineStr">
        <is>
          <t>1(4)+2(4)+3(4)+4(4)+5(4)+6(4)</t>
        </is>
      </c>
      <c r="H970" s="167" t="inlineStr"/>
    </row>
    <row r="971">
      <c r="A971" s="167" t="inlineStr"/>
      <c r="B971" s="167" t="inlineStr">
        <is>
          <t>ACC</t>
        </is>
      </c>
      <c r="C971" s="168" t="inlineStr">
        <is>
          <t>부싱</t>
        </is>
      </c>
      <c r="D971" s="168" t="inlineStr">
        <is>
          <t>22mm</t>
        </is>
      </c>
      <c r="E971" s="167" t="inlineStr">
        <is>
          <t>EA</t>
        </is>
      </c>
      <c r="F971" s="170" t="n">
        <v>12</v>
      </c>
      <c r="G971" s="168" t="inlineStr">
        <is>
          <t>1(2)+2(2)+3(2)+4(2)+5(2)+6(2)</t>
        </is>
      </c>
      <c r="H971" s="167" t="inlineStr"/>
    </row>
    <row r="972">
      <c r="A972" s="167" t="inlineStr"/>
      <c r="B972" s="167" t="inlineStr">
        <is>
          <t>ACC</t>
        </is>
      </c>
      <c r="C972" s="168" t="inlineStr">
        <is>
          <t>새들</t>
        </is>
      </c>
      <c r="D972" s="168" t="inlineStr">
        <is>
          <t>22mm</t>
        </is>
      </c>
      <c r="E972" s="167" t="inlineStr">
        <is>
          <t>EA</t>
        </is>
      </c>
      <c r="F972" s="170" t="n">
        <v>20</v>
      </c>
      <c r="G972" s="168" t="inlineStr">
        <is>
          <t>1(4)+2(3)+3(3)+4(3)+5(3)+6(4)</t>
        </is>
      </c>
      <c r="H972" s="167" t="inlineStr"/>
    </row>
    <row r="973">
      <c r="A973" s="167" t="inlineStr"/>
      <c r="B973" s="167" t="inlineStr">
        <is>
          <t>ACC</t>
        </is>
      </c>
      <c r="C973" s="168" t="inlineStr">
        <is>
          <t>커넥터</t>
        </is>
      </c>
      <c r="D973" s="168" t="inlineStr">
        <is>
          <t>22mm</t>
        </is>
      </c>
      <c r="E973" s="167" t="inlineStr">
        <is>
          <t>EA</t>
        </is>
      </c>
      <c r="F973" s="170" t="n">
        <v>12</v>
      </c>
      <c r="G973" s="168" t="inlineStr">
        <is>
          <t>1(2)+2(2)+3(2)+4(2)+5(2)+6(2)</t>
        </is>
      </c>
      <c r="H973" s="167" t="inlineStr"/>
    </row>
    <row r="974">
      <c r="A974" s="167" t="inlineStr"/>
      <c r="B974" s="167" t="inlineStr">
        <is>
          <t>ACC</t>
        </is>
      </c>
      <c r="C974" s="168" t="inlineStr">
        <is>
          <t>커플링</t>
        </is>
      </c>
      <c r="D974" s="168" t="inlineStr">
        <is>
          <t>22mm</t>
        </is>
      </c>
      <c r="E974" s="167" t="inlineStr">
        <is>
          <t>EA</t>
        </is>
      </c>
      <c r="F974" s="170" t="n">
        <v>12</v>
      </c>
      <c r="G974" s="168" t="inlineStr">
        <is>
          <t>1(2)+2(2)+3(2)+4(2)+5(2)+6(2)</t>
        </is>
      </c>
      <c r="H974" s="167" t="inlineStr"/>
    </row>
    <row r="975">
      <c r="A975" s="167" t="inlineStr"/>
      <c r="B975" s="167" t="inlineStr">
        <is>
          <t>SUP</t>
        </is>
      </c>
      <c r="C975" s="168" t="inlineStr">
        <is>
          <t>유크램프</t>
        </is>
      </c>
      <c r="D975" s="168" t="inlineStr">
        <is>
          <t>공용</t>
        </is>
      </c>
      <c r="E975" s="167" t="inlineStr">
        <is>
          <t>EA</t>
        </is>
      </c>
      <c r="F975" s="170" t="n">
        <v>18</v>
      </c>
      <c r="G975" s="168" t="inlineStr">
        <is>
          <t>공정전체(18)</t>
        </is>
      </c>
      <c r="H975" s="167" t="inlineStr"/>
    </row>
    <row r="976">
      <c r="A976" s="167" t="inlineStr"/>
      <c r="B976" s="167" t="inlineStr">
        <is>
          <t>SUP</t>
        </is>
      </c>
      <c r="C976" s="168" t="inlineStr">
        <is>
          <t>전산볼트 M10 × 1m</t>
        </is>
      </c>
      <c r="D976" s="168" t="inlineStr">
        <is>
          <t>M10</t>
        </is>
      </c>
      <c r="E976" s="167" t="inlineStr">
        <is>
          <t>EA</t>
        </is>
      </c>
      <c r="F976" s="170" t="n">
        <v>18</v>
      </c>
      <c r="G976" s="168" t="inlineStr">
        <is>
          <t>공정전체(18)</t>
        </is>
      </c>
      <c r="H976" s="167" t="inlineStr"/>
    </row>
    <row r="977">
      <c r="A977" s="167" t="inlineStr"/>
      <c r="B977" s="167" t="inlineStr">
        <is>
          <t>CMN</t>
        </is>
      </c>
      <c r="C977" s="168" t="inlineStr">
        <is>
          <t>PVC 테이프</t>
        </is>
      </c>
      <c r="D977" s="168" t="inlineStr">
        <is>
          <t>19mm</t>
        </is>
      </c>
      <c r="E977" s="167" t="inlineStr">
        <is>
          <t>롤</t>
        </is>
      </c>
      <c r="F977" s="170" t="n">
        <v>2</v>
      </c>
      <c r="G977" s="168" t="inlineStr">
        <is>
          <t>공정전체(2)</t>
        </is>
      </c>
      <c r="H977" s="167" t="inlineStr"/>
    </row>
    <row r="978">
      <c r="A978" s="167" t="inlineStr"/>
      <c r="B978" s="167" t="inlineStr">
        <is>
          <t>CMN</t>
        </is>
      </c>
      <c r="C978" s="168" t="inlineStr">
        <is>
          <t>아울렛 박스 (4각)</t>
        </is>
      </c>
      <c r="D978" s="168" t="inlineStr">
        <is>
          <t>4각</t>
        </is>
      </c>
      <c r="E978" s="167" t="inlineStr">
        <is>
          <t>EA</t>
        </is>
      </c>
      <c r="F978" s="170" t="n">
        <v>12</v>
      </c>
      <c r="G978" s="168" t="inlineStr">
        <is>
          <t>공정전체(12)</t>
        </is>
      </c>
      <c r="H978" s="167" t="inlineStr"/>
    </row>
    <row r="979">
      <c r="A979" s="167" t="inlineStr"/>
      <c r="B979" s="167" t="inlineStr">
        <is>
          <t>CMN</t>
        </is>
      </c>
      <c r="C979" s="168" t="inlineStr">
        <is>
          <t>와이어 커넥터</t>
        </is>
      </c>
      <c r="D979" s="168" t="inlineStr">
        <is>
          <t>중</t>
        </is>
      </c>
      <c r="E979" s="167" t="inlineStr">
        <is>
          <t>셋</t>
        </is>
      </c>
      <c r="F979" s="170" t="n">
        <v>36</v>
      </c>
      <c r="G979" s="168" t="inlineStr">
        <is>
          <t>공정전체(36)</t>
        </is>
      </c>
      <c r="H979" s="167" t="inlineStr"/>
    </row>
    <row r="980">
      <c r="A980" s="167" t="inlineStr"/>
      <c r="B980" s="167" t="inlineStr">
        <is>
          <t>CMN</t>
        </is>
      </c>
      <c r="C980" s="168" t="inlineStr">
        <is>
          <t>풀박스</t>
        </is>
      </c>
      <c r="D980" s="168" t="inlineStr">
        <is>
          <t>200×200</t>
        </is>
      </c>
      <c r="E980" s="167" t="inlineStr">
        <is>
          <t>EA</t>
        </is>
      </c>
      <c r="F980" s="170" t="n">
        <v>1</v>
      </c>
      <c r="G980" s="168" t="inlineStr">
        <is>
          <t>공정전체(1)</t>
        </is>
      </c>
      <c r="H980" s="167" t="inlineStr"/>
    </row>
  </sheetData>
  <mergeCells count="107">
    <mergeCell ref="A130:H130"/>
    <mergeCell ref="A732:H732"/>
    <mergeCell ref="A860:H860"/>
    <mergeCell ref="A912:H912"/>
    <mergeCell ref="A722:H722"/>
    <mergeCell ref="A138:H138"/>
    <mergeCell ref="A844:H844"/>
    <mergeCell ref="A967:H967"/>
    <mergeCell ref="A706:H706"/>
    <mergeCell ref="A929:H929"/>
    <mergeCell ref="A256:H256"/>
    <mergeCell ref="A66:H66"/>
    <mergeCell ref="A3:H3"/>
    <mergeCell ref="A772:H772"/>
    <mergeCell ref="A604:H604"/>
    <mergeCell ref="A224:H224"/>
    <mergeCell ref="A106:H106"/>
    <mergeCell ref="A373:H373"/>
    <mergeCell ref="A200:H200"/>
    <mergeCell ref="A280:H280"/>
    <mergeCell ref="A450:H450"/>
    <mergeCell ref="A288:H288"/>
    <mergeCell ref="A372:H372"/>
    <mergeCell ref="A550:H550"/>
    <mergeCell ref="A534:H534"/>
    <mergeCell ref="A421:H421"/>
    <mergeCell ref="A82:H82"/>
    <mergeCell ref="A146:H146"/>
    <mergeCell ref="A526:H526"/>
    <mergeCell ref="A658:H658"/>
    <mergeCell ref="A836:H836"/>
    <mergeCell ref="A397:H397"/>
    <mergeCell ref="A746:H746"/>
    <mergeCell ref="A27:H27"/>
    <mergeCell ref="A804:H804"/>
    <mergeCell ref="A763:H763"/>
    <mergeCell ref="A876:H876"/>
    <mergeCell ref="A788:H788"/>
    <mergeCell ref="A2:H2"/>
    <mergeCell ref="A828:H828"/>
    <mergeCell ref="A890:H890"/>
    <mergeCell ref="A852:H852"/>
    <mergeCell ref="A122:H122"/>
    <mergeCell ref="A868:H868"/>
    <mergeCell ref="A780:H780"/>
    <mergeCell ref="A945:H945"/>
    <mergeCell ref="A199:H199"/>
    <mergeCell ref="A435:H435"/>
    <mergeCell ref="A913:H913"/>
    <mergeCell ref="A953:H953"/>
    <mergeCell ref="A320:H320"/>
    <mergeCell ref="A176:H176"/>
    <mergeCell ref="A232:H232"/>
    <mergeCell ref="A114:H114"/>
    <mergeCell ref="A603:H603"/>
    <mergeCell ref="A937:H937"/>
    <mergeCell ref="A304:H304"/>
    <mergeCell ref="A98:H98"/>
    <mergeCell ref="A296:H296"/>
    <mergeCell ref="A580:H580"/>
    <mergeCell ref="A620:H620"/>
    <mergeCell ref="A461:H461"/>
    <mergeCell ref="A921:H921"/>
    <mergeCell ref="A162:H162"/>
    <mergeCell ref="A517:H517"/>
    <mergeCell ref="A41:H41"/>
    <mergeCell ref="A90:H90"/>
    <mergeCell ref="A566:H566"/>
    <mergeCell ref="A493:H493"/>
    <mergeCell ref="A74:H74"/>
    <mergeCell ref="A154:H154"/>
    <mergeCell ref="A381:H381"/>
    <mergeCell ref="A714:H714"/>
    <mergeCell ref="A666:H666"/>
    <mergeCell ref="A558:H558"/>
    <mergeCell ref="A542:H542"/>
    <mergeCell ref="A336:H336"/>
    <mergeCell ref="A240:H240"/>
    <mergeCell ref="A19:H19"/>
    <mergeCell ref="A642:H642"/>
    <mergeCell ref="A820:H820"/>
    <mergeCell ref="A764:H764"/>
    <mergeCell ref="A328:H328"/>
    <mergeCell ref="A350:H350"/>
    <mergeCell ref="A11:H11"/>
    <mergeCell ref="A216:H216"/>
    <mergeCell ref="A628:H628"/>
    <mergeCell ref="A812:H812"/>
    <mergeCell ref="A65:H65"/>
    <mergeCell ref="A796:H796"/>
    <mergeCell ref="A264:H264"/>
    <mergeCell ref="A208:H208"/>
    <mergeCell ref="A413:H413"/>
    <mergeCell ref="A469:H469"/>
    <mergeCell ref="A248:H248"/>
    <mergeCell ref="A272:H272"/>
    <mergeCell ref="A695:H695"/>
    <mergeCell ref="A657:H657"/>
    <mergeCell ref="A312:H312"/>
    <mergeCell ref="A405:H405"/>
    <mergeCell ref="A479:H479"/>
    <mergeCell ref="A451:H451"/>
    <mergeCell ref="A389:H389"/>
    <mergeCell ref="A696:H696"/>
    <mergeCell ref="A612:H612"/>
    <mergeCell ref="A680:H680"/>
    <mergeCell ref="A518:H5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78" min="1" max="1"/>
    <col width="28" customWidth="1" style="78" min="2" max="2"/>
    <col width="20" customWidth="1" style="78" min="3" max="3"/>
    <col width="6" customWidth="1" style="78" min="4" max="4"/>
    <col width="12" customWidth="1" style="78" min="5" max="5"/>
    <col width="24" customWidth="1" style="78" min="6" max="6"/>
  </cols>
  <sheetData>
    <row r="1">
      <c r="A1" s="155" t="inlineStr">
        <is>
          <t>번호</t>
        </is>
      </c>
      <c r="B1" s="155" t="inlineStr">
        <is>
          <t>명칭</t>
        </is>
      </c>
      <c r="C1" s="155" t="inlineStr">
        <is>
          <t>규격</t>
        </is>
      </c>
      <c r="D1" s="155" t="inlineStr">
        <is>
          <t>단위</t>
        </is>
      </c>
      <c r="E1" s="155" t="inlineStr">
        <is>
          <t>합산수량</t>
        </is>
      </c>
      <c r="F1" s="155" t="inlineStr">
        <is>
          <t>비고</t>
        </is>
      </c>
    </row>
    <row r="2">
      <c r="A2" s="148" t="n">
        <v>1</v>
      </c>
      <c r="B2" s="149" t="inlineStr">
        <is>
          <t>F-CV + F-GV/E</t>
        </is>
      </c>
      <c r="C2" s="149" t="inlineStr">
        <is>
          <t>10㎟ 4C + F-GV 10㎟</t>
        </is>
      </c>
      <c r="D2" s="148" t="inlineStr">
        <is>
          <t>m</t>
        </is>
      </c>
      <c r="E2" s="160" t="n">
        <v>0</v>
      </c>
      <c r="F2" s="149" t="inlineStr">
        <is>
          <t>[MAT]</t>
        </is>
      </c>
      <c r="G2" t="inlineStr">
        <is>
          <t>v3 폐기→Phase2 1C/3C/4C 분리</t>
        </is>
      </c>
    </row>
    <row r="3">
      <c r="A3" s="148" t="n">
        <v>2</v>
      </c>
      <c r="B3" s="149" t="inlineStr">
        <is>
          <t>F-CV + F-GV/E</t>
        </is>
      </c>
      <c r="C3" s="149" t="inlineStr">
        <is>
          <t>25㎟ 4C + F-GV 25㎟</t>
        </is>
      </c>
      <c r="D3" s="148" t="inlineStr">
        <is>
          <t>m</t>
        </is>
      </c>
      <c r="E3" s="160" t="n">
        <v>0</v>
      </c>
      <c r="F3" s="149" t="inlineStr">
        <is>
          <t>[MAT]</t>
        </is>
      </c>
      <c r="G3" t="inlineStr">
        <is>
          <t>v3 폐기→Phase2 1C/3C/4C 분리</t>
        </is>
      </c>
    </row>
    <row r="4">
      <c r="A4" s="148" t="n">
        <v>3</v>
      </c>
      <c r="B4" s="149" t="inlineStr">
        <is>
          <t>F-CV + F-GV/E</t>
        </is>
      </c>
      <c r="C4" s="149" t="inlineStr">
        <is>
          <t>6㎟ 4C + E 6㎟</t>
        </is>
      </c>
      <c r="D4" s="148" t="inlineStr">
        <is>
          <t>m</t>
        </is>
      </c>
      <c r="E4" s="160" t="n">
        <v>0</v>
      </c>
      <c r="F4" s="149" t="inlineStr">
        <is>
          <t>[MAT]</t>
        </is>
      </c>
      <c r="G4" t="inlineStr">
        <is>
          <t>v3 폐기→Phase2 1C/3C/4C 분리</t>
        </is>
      </c>
    </row>
    <row r="5">
      <c r="A5" s="148" t="n">
        <v>4</v>
      </c>
      <c r="B5" s="149" t="inlineStr">
        <is>
          <t>F-CV + F-GV/E</t>
        </is>
      </c>
      <c r="C5" s="149" t="inlineStr">
        <is>
          <t>95㎟ 4C + F-GV 95㎟</t>
        </is>
      </c>
      <c r="D5" s="148" t="inlineStr">
        <is>
          <t>m</t>
        </is>
      </c>
      <c r="E5" s="160" t="n">
        <v>0</v>
      </c>
      <c r="F5" s="149" t="inlineStr">
        <is>
          <t>[MAT]</t>
        </is>
      </c>
      <c r="G5" t="inlineStr">
        <is>
          <t>v3 폐기→Phase2 1C/3C/4C 분리</t>
        </is>
      </c>
    </row>
    <row r="6">
      <c r="A6" s="148" t="n">
        <v>5</v>
      </c>
      <c r="B6" s="149" t="inlineStr">
        <is>
          <t>F-CV 0.6/1kV</t>
        </is>
      </c>
      <c r="C6" s="149" t="inlineStr">
        <is>
          <t>4㎟ 3C</t>
        </is>
      </c>
      <c r="D6" s="148" t="inlineStr">
        <is>
          <t>m</t>
        </is>
      </c>
      <c r="E6" s="160" t="n">
        <v>0</v>
      </c>
      <c r="F6" s="149" t="inlineStr">
        <is>
          <t>[MAT]</t>
        </is>
      </c>
      <c r="G6" t="inlineStr">
        <is>
          <t>v3 폐기→Phase2 1C/3C/4C 분리</t>
        </is>
      </c>
    </row>
    <row r="7">
      <c r="A7" s="148" t="n">
        <v>6</v>
      </c>
      <c r="B7" s="149" t="inlineStr">
        <is>
          <t>F-CV 0.6/1kV</t>
        </is>
      </c>
      <c r="C7" s="149" t="inlineStr">
        <is>
          <t>6㎟ 4C</t>
        </is>
      </c>
      <c r="D7" s="148" t="inlineStr">
        <is>
          <t>m</t>
        </is>
      </c>
      <c r="E7" s="160" t="n">
        <v>0</v>
      </c>
      <c r="F7" s="149" t="inlineStr">
        <is>
          <t>[MAT]</t>
        </is>
      </c>
      <c r="G7" t="inlineStr">
        <is>
          <t>v3 폐기→Phase2 1C/3C/4C 분리</t>
        </is>
      </c>
    </row>
    <row r="8">
      <c r="A8" s="148" t="n">
        <v>7</v>
      </c>
      <c r="B8" s="149" t="inlineStr">
        <is>
          <t>HFIX 내열비닐</t>
        </is>
      </c>
      <c r="C8" s="149" t="inlineStr">
        <is>
          <t>2.5㎟ 3C</t>
        </is>
      </c>
      <c r="D8" s="148" t="inlineStr">
        <is>
          <t>m</t>
        </is>
      </c>
      <c r="E8" s="160" t="n">
        <v>1283.1</v>
      </c>
      <c r="F8" s="149" t="inlineStr">
        <is>
          <t>[MAT]</t>
        </is>
      </c>
    </row>
    <row r="9">
      <c r="A9" s="148" t="n">
        <v>8</v>
      </c>
      <c r="B9" s="149" t="inlineStr">
        <is>
          <t>HFIX 내열비닐</t>
        </is>
      </c>
      <c r="C9" s="149" t="inlineStr">
        <is>
          <t>4㎟ 3C</t>
        </is>
      </c>
      <c r="D9" s="148" t="inlineStr">
        <is>
          <t>m</t>
        </is>
      </c>
      <c r="E9" s="160" t="n">
        <v>1173.9</v>
      </c>
      <c r="F9" s="149" t="inlineStr">
        <is>
          <t>[MAT]</t>
        </is>
      </c>
    </row>
    <row r="10">
      <c r="A10" s="148" t="n">
        <v>9</v>
      </c>
      <c r="B10" s="149" t="inlineStr">
        <is>
          <t>HFIX 내열비닐</t>
        </is>
      </c>
      <c r="C10" s="149" t="inlineStr">
        <is>
          <t>4㎟ 4C</t>
        </is>
      </c>
      <c r="D10" s="148" t="inlineStr">
        <is>
          <t>m</t>
        </is>
      </c>
      <c r="E10" s="160" t="n">
        <v>171.6</v>
      </c>
      <c r="F10" s="149" t="inlineStr">
        <is>
          <t>[MAT]</t>
        </is>
      </c>
    </row>
    <row r="11">
      <c r="A11" s="148" t="n">
        <v>10</v>
      </c>
      <c r="B11" s="149" t="inlineStr">
        <is>
          <t>HFIX 내열비닐</t>
        </is>
      </c>
      <c r="C11" s="149" t="inlineStr">
        <is>
          <t>6㎟ 4C</t>
        </is>
      </c>
      <c r="D11" s="148" t="inlineStr">
        <is>
          <t>m</t>
        </is>
      </c>
      <c r="E11" s="160" t="n">
        <v>1185.6</v>
      </c>
      <c r="F11" s="149" t="inlineStr">
        <is>
          <t>[MAT]</t>
        </is>
      </c>
    </row>
    <row r="12">
      <c r="A12" s="148" t="n">
        <v>11</v>
      </c>
      <c r="B12" s="149" t="inlineStr">
        <is>
          <t>강제전선관 (ST)</t>
        </is>
      </c>
      <c r="C12" s="149" t="inlineStr">
        <is>
          <t>16mm</t>
        </is>
      </c>
      <c r="D12" s="148" t="inlineStr">
        <is>
          <t>m</t>
        </is>
      </c>
      <c r="E12" s="160" t="n">
        <v>1135</v>
      </c>
      <c r="F12" s="149" t="inlineStr">
        <is>
          <t>[MAT]</t>
        </is>
      </c>
      <c r="G12" t="inlineStr">
        <is>
          <t>Phase2 재분포 ▲</t>
        </is>
      </c>
    </row>
    <row r="13">
      <c r="A13" s="148" t="n">
        <v>12</v>
      </c>
      <c r="B13" s="149" t="inlineStr">
        <is>
          <t>강제전선관 (ST)</t>
        </is>
      </c>
      <c r="C13" s="149" t="inlineStr">
        <is>
          <t>22mm</t>
        </is>
      </c>
      <c r="D13" s="148" t="inlineStr">
        <is>
          <t>m</t>
        </is>
      </c>
      <c r="E13" s="160" t="n">
        <v>1728</v>
      </c>
      <c r="F13" s="149" t="inlineStr">
        <is>
          <t>[MAT]</t>
        </is>
      </c>
      <c r="G13" t="inlineStr">
        <is>
          <t>Phase2 재분포 ▲</t>
        </is>
      </c>
    </row>
    <row r="14">
      <c r="A14" s="148" t="n">
        <v>13</v>
      </c>
      <c r="B14" s="149" t="inlineStr">
        <is>
          <t>강제전선관 (ST)</t>
        </is>
      </c>
      <c r="C14" s="149" t="inlineStr">
        <is>
          <t>28mm</t>
        </is>
      </c>
      <c r="D14" s="148" t="inlineStr">
        <is>
          <t>m</t>
        </is>
      </c>
      <c r="E14" s="160" t="n">
        <v>148</v>
      </c>
      <c r="F14" s="149" t="inlineStr">
        <is>
          <t>[MAT]</t>
        </is>
      </c>
      <c r="G14" t="inlineStr">
        <is>
          <t>Phase2 재분포 ▲</t>
        </is>
      </c>
    </row>
    <row r="15">
      <c r="A15" s="148" t="n">
        <v>14</v>
      </c>
      <c r="B15" s="149" t="inlineStr">
        <is>
          <t>강제전선관 (ST)</t>
        </is>
      </c>
      <c r="C15" s="149" t="inlineStr">
        <is>
          <t>36mm</t>
        </is>
      </c>
      <c r="D15" s="148" t="inlineStr">
        <is>
          <t>m</t>
        </is>
      </c>
      <c r="E15" s="160" t="n">
        <v>141</v>
      </c>
      <c r="F15" s="149" t="inlineStr">
        <is>
          <t>[MAT]</t>
        </is>
      </c>
      <c r="G15" t="inlineStr">
        <is>
          <t>Phase2 재분포 ▲</t>
        </is>
      </c>
    </row>
    <row r="16">
      <c r="A16" s="148" t="n">
        <v>15</v>
      </c>
      <c r="B16" s="149" t="inlineStr">
        <is>
          <t>로크너트</t>
        </is>
      </c>
      <c r="C16" s="149" t="inlineStr">
        <is>
          <t>16mm</t>
        </is>
      </c>
      <c r="D16" s="148" t="inlineStr">
        <is>
          <t>EA</t>
        </is>
      </c>
      <c r="E16" s="171" t="n">
        <v>96</v>
      </c>
      <c r="F16" s="149" t="inlineStr">
        <is>
          <t>[ACC]</t>
        </is>
      </c>
    </row>
    <row r="17">
      <c r="A17" s="148" t="n">
        <v>16</v>
      </c>
      <c r="B17" s="149" t="inlineStr">
        <is>
          <t>로크너트</t>
        </is>
      </c>
      <c r="C17" s="149" t="inlineStr">
        <is>
          <t>22mm</t>
        </is>
      </c>
      <c r="D17" s="148" t="inlineStr">
        <is>
          <t>EA</t>
        </is>
      </c>
      <c r="E17" s="171" t="n">
        <v>140</v>
      </c>
      <c r="F17" s="149" t="inlineStr">
        <is>
          <t>[ACC]</t>
        </is>
      </c>
    </row>
    <row r="18">
      <c r="A18" s="148" t="n">
        <v>17</v>
      </c>
      <c r="B18" s="149" t="inlineStr">
        <is>
          <t>로크너트</t>
        </is>
      </c>
      <c r="C18" s="149" t="inlineStr">
        <is>
          <t>28mm</t>
        </is>
      </c>
      <c r="D18" s="148" t="inlineStr">
        <is>
          <t>EA</t>
        </is>
      </c>
      <c r="E18" s="171" t="n">
        <v>88</v>
      </c>
      <c r="F18" s="149" t="inlineStr">
        <is>
          <t>[ACC]</t>
        </is>
      </c>
    </row>
    <row r="19">
      <c r="A19" s="148" t="n">
        <v>18</v>
      </c>
      <c r="B19" s="149" t="inlineStr">
        <is>
          <t>로크너트</t>
        </is>
      </c>
      <c r="C19" s="149" t="inlineStr">
        <is>
          <t>36mm</t>
        </is>
      </c>
      <c r="D19" s="148" t="inlineStr">
        <is>
          <t>EA</t>
        </is>
      </c>
      <c r="E19" s="171" t="n">
        <v>16</v>
      </c>
      <c r="F19" s="149" t="inlineStr">
        <is>
          <t>[ACC]</t>
        </is>
      </c>
    </row>
    <row r="20">
      <c r="A20" s="148" t="n">
        <v>19</v>
      </c>
      <c r="B20" s="149" t="inlineStr">
        <is>
          <t>부싱</t>
        </is>
      </c>
      <c r="C20" s="149" t="inlineStr">
        <is>
          <t>16mm</t>
        </is>
      </c>
      <c r="D20" s="148" t="inlineStr">
        <is>
          <t>EA</t>
        </is>
      </c>
      <c r="E20" s="171" t="n">
        <v>48</v>
      </c>
      <c r="F20" s="149" t="inlineStr">
        <is>
          <t>[ACC]</t>
        </is>
      </c>
    </row>
    <row r="21">
      <c r="A21" s="148" t="n">
        <v>20</v>
      </c>
      <c r="B21" s="149" t="inlineStr">
        <is>
          <t>부싱</t>
        </is>
      </c>
      <c r="C21" s="149" t="inlineStr">
        <is>
          <t>22mm</t>
        </is>
      </c>
      <c r="D21" s="148" t="inlineStr">
        <is>
          <t>EA</t>
        </is>
      </c>
      <c r="E21" s="171" t="n">
        <v>70</v>
      </c>
      <c r="F21" s="149" t="inlineStr">
        <is>
          <t>[ACC]</t>
        </is>
      </c>
    </row>
    <row r="22">
      <c r="A22" s="148" t="n">
        <v>21</v>
      </c>
      <c r="B22" s="149" t="inlineStr">
        <is>
          <t>부싱</t>
        </is>
      </c>
      <c r="C22" s="149" t="inlineStr">
        <is>
          <t>28mm</t>
        </is>
      </c>
      <c r="D22" s="148" t="inlineStr">
        <is>
          <t>EA</t>
        </is>
      </c>
      <c r="E22" s="171" t="n">
        <v>44</v>
      </c>
      <c r="F22" s="149" t="inlineStr">
        <is>
          <t>[ACC]</t>
        </is>
      </c>
    </row>
    <row r="23">
      <c r="A23" s="148" t="n">
        <v>22</v>
      </c>
      <c r="B23" s="149" t="inlineStr">
        <is>
          <t>부싱</t>
        </is>
      </c>
      <c r="C23" s="149" t="inlineStr">
        <is>
          <t>36mm</t>
        </is>
      </c>
      <c r="D23" s="148" t="inlineStr">
        <is>
          <t>EA</t>
        </is>
      </c>
      <c r="E23" s="171" t="n">
        <v>8</v>
      </c>
      <c r="F23" s="149" t="inlineStr">
        <is>
          <t>[ACC]</t>
        </is>
      </c>
    </row>
    <row r="24">
      <c r="A24" s="148" t="n">
        <v>23</v>
      </c>
      <c r="B24" s="149" t="inlineStr">
        <is>
          <t>새들</t>
        </is>
      </c>
      <c r="C24" s="149" t="inlineStr">
        <is>
          <t>16mm</t>
        </is>
      </c>
      <c r="D24" s="148" t="inlineStr">
        <is>
          <t>EA</t>
        </is>
      </c>
      <c r="E24" s="171" t="n">
        <v>295</v>
      </c>
      <c r="F24" s="149" t="inlineStr">
        <is>
          <t>[ACC]</t>
        </is>
      </c>
    </row>
    <row r="25">
      <c r="A25" s="148" t="n">
        <v>24</v>
      </c>
      <c r="B25" s="149" t="inlineStr">
        <is>
          <t>새들</t>
        </is>
      </c>
      <c r="C25" s="149" t="inlineStr">
        <is>
          <t>22mm</t>
        </is>
      </c>
      <c r="D25" s="148" t="inlineStr">
        <is>
          <t>EA</t>
        </is>
      </c>
      <c r="E25" s="171" t="n">
        <v>500</v>
      </c>
      <c r="F25" s="149" t="inlineStr">
        <is>
          <t>[ACC]</t>
        </is>
      </c>
    </row>
    <row r="26">
      <c r="A26" s="148" t="n">
        <v>25</v>
      </c>
      <c r="B26" s="149" t="inlineStr">
        <is>
          <t>새들</t>
        </is>
      </c>
      <c r="C26" s="149" t="inlineStr">
        <is>
          <t>28mm</t>
        </is>
      </c>
      <c r="D26" s="148" t="inlineStr">
        <is>
          <t>EA</t>
        </is>
      </c>
      <c r="E26" s="171" t="n">
        <v>195</v>
      </c>
      <c r="F26" s="149" t="inlineStr">
        <is>
          <t>[ACC]</t>
        </is>
      </c>
    </row>
    <row r="27">
      <c r="A27" s="148" t="n">
        <v>26</v>
      </c>
      <c r="B27" s="149" t="inlineStr">
        <is>
          <t>새들</t>
        </is>
      </c>
      <c r="C27" s="149" t="inlineStr">
        <is>
          <t>36mm</t>
        </is>
      </c>
      <c r="D27" s="148" t="inlineStr">
        <is>
          <t>EA</t>
        </is>
      </c>
      <c r="E27" s="171" t="n">
        <v>61</v>
      </c>
      <c r="F27" s="149" t="inlineStr">
        <is>
          <t>[ACC]</t>
        </is>
      </c>
    </row>
    <row r="28">
      <c r="A28" s="148" t="n">
        <v>27</v>
      </c>
      <c r="B28" s="149" t="inlineStr">
        <is>
          <t>석면튜브</t>
        </is>
      </c>
      <c r="C28" s="149" t="inlineStr">
        <is>
          <t>Φ6</t>
        </is>
      </c>
      <c r="D28" s="148" t="inlineStr">
        <is>
          <t>m</t>
        </is>
      </c>
      <c r="E28" s="160" t="n">
        <v>71.40000000000001</v>
      </c>
      <c r="F28" s="149" t="inlineStr">
        <is>
          <t>[ACC]</t>
        </is>
      </c>
    </row>
    <row r="29">
      <c r="A29" s="148" t="n">
        <v>28</v>
      </c>
      <c r="B29" s="149" t="inlineStr">
        <is>
          <t>커넥터</t>
        </is>
      </c>
      <c r="C29" s="149" t="inlineStr">
        <is>
          <t>16mm</t>
        </is>
      </c>
      <c r="D29" s="148" t="inlineStr">
        <is>
          <t>EA</t>
        </is>
      </c>
      <c r="E29" s="171" t="n">
        <v>48</v>
      </c>
      <c r="F29" s="149" t="inlineStr">
        <is>
          <t>[ACC]</t>
        </is>
      </c>
    </row>
    <row r="30">
      <c r="A30" s="148" t="n">
        <v>29</v>
      </c>
      <c r="B30" s="149" t="inlineStr">
        <is>
          <t>커넥터</t>
        </is>
      </c>
      <c r="C30" s="149" t="inlineStr">
        <is>
          <t>22mm</t>
        </is>
      </c>
      <c r="D30" s="148" t="inlineStr">
        <is>
          <t>EA</t>
        </is>
      </c>
      <c r="E30" s="171" t="n">
        <v>70</v>
      </c>
      <c r="F30" s="149" t="inlineStr">
        <is>
          <t>[ACC]</t>
        </is>
      </c>
    </row>
    <row r="31">
      <c r="A31" s="148" t="n">
        <v>30</v>
      </c>
      <c r="B31" s="149" t="inlineStr">
        <is>
          <t>커넥터</t>
        </is>
      </c>
      <c r="C31" s="149" t="inlineStr">
        <is>
          <t>28mm</t>
        </is>
      </c>
      <c r="D31" s="148" t="inlineStr">
        <is>
          <t>EA</t>
        </is>
      </c>
      <c r="E31" s="171" t="n">
        <v>44</v>
      </c>
      <c r="F31" s="149" t="inlineStr">
        <is>
          <t>[ACC]</t>
        </is>
      </c>
    </row>
    <row r="32">
      <c r="A32" s="148" t="n">
        <v>31</v>
      </c>
      <c r="B32" s="149" t="inlineStr">
        <is>
          <t>커넥터</t>
        </is>
      </c>
      <c r="C32" s="149" t="inlineStr">
        <is>
          <t>36mm</t>
        </is>
      </c>
      <c r="D32" s="148" t="inlineStr">
        <is>
          <t>EA</t>
        </is>
      </c>
      <c r="E32" s="171" t="n">
        <v>8</v>
      </c>
      <c r="F32" s="149" t="inlineStr">
        <is>
          <t>[ACC]</t>
        </is>
      </c>
    </row>
    <row r="33">
      <c r="A33" s="148" t="n">
        <v>32</v>
      </c>
      <c r="B33" s="149" t="inlineStr">
        <is>
          <t>커플링</t>
        </is>
      </c>
      <c r="C33" s="149" t="inlineStr">
        <is>
          <t>16mm</t>
        </is>
      </c>
      <c r="D33" s="148" t="inlineStr">
        <is>
          <t>EA</t>
        </is>
      </c>
      <c r="E33" s="171" t="n">
        <v>132</v>
      </c>
      <c r="F33" s="149" t="inlineStr">
        <is>
          <t>[ACC]</t>
        </is>
      </c>
    </row>
    <row r="34">
      <c r="A34" s="148" t="n">
        <v>33</v>
      </c>
      <c r="B34" s="149" t="inlineStr">
        <is>
          <t>커플링</t>
        </is>
      </c>
      <c r="C34" s="149" t="inlineStr">
        <is>
          <t>22mm</t>
        </is>
      </c>
      <c r="D34" s="148" t="inlineStr">
        <is>
          <t>EA</t>
        </is>
      </c>
      <c r="E34" s="171" t="n">
        <v>220</v>
      </c>
      <c r="F34" s="149" t="inlineStr">
        <is>
          <t>[ACC]</t>
        </is>
      </c>
    </row>
    <row r="35">
      <c r="A35" s="148" t="n">
        <v>34</v>
      </c>
      <c r="B35" s="149" t="inlineStr">
        <is>
          <t>커플링</t>
        </is>
      </c>
      <c r="C35" s="149" t="inlineStr">
        <is>
          <t>28mm</t>
        </is>
      </c>
      <c r="D35" s="148" t="inlineStr">
        <is>
          <t>EA</t>
        </is>
      </c>
      <c r="E35" s="171" t="n">
        <v>86</v>
      </c>
      <c r="F35" s="149" t="inlineStr">
        <is>
          <t>[ACC]</t>
        </is>
      </c>
    </row>
    <row r="36">
      <c r="A36" s="148" t="n">
        <v>35</v>
      </c>
      <c r="B36" s="149" t="inlineStr">
        <is>
          <t>커플링</t>
        </is>
      </c>
      <c r="C36" s="149" t="inlineStr">
        <is>
          <t>36mm</t>
        </is>
      </c>
      <c r="D36" s="148" t="inlineStr">
        <is>
          <t>EA</t>
        </is>
      </c>
      <c r="E36" s="171" t="n">
        <v>26</v>
      </c>
      <c r="F36" s="149" t="inlineStr">
        <is>
          <t>[ACC]</t>
        </is>
      </c>
    </row>
    <row r="37">
      <c r="A37" s="148" t="n">
        <v>36</v>
      </c>
      <c r="B37" s="149" t="inlineStr">
        <is>
          <t>테프론선 2C (SMPS 2차측)</t>
        </is>
      </c>
      <c r="C37" s="149" t="inlineStr">
        <is>
          <t>1.5㎟ 2C</t>
        </is>
      </c>
      <c r="D37" s="148" t="inlineStr">
        <is>
          <t>m</t>
        </is>
      </c>
      <c r="E37" s="160" t="n">
        <v>71.40000000000001</v>
      </c>
      <c r="F37" s="149" t="inlineStr">
        <is>
          <t>[ACC]</t>
        </is>
      </c>
    </row>
    <row r="38">
      <c r="A38" s="148" t="n">
        <v>37</v>
      </c>
      <c r="B38" s="149" t="inlineStr">
        <is>
          <t>유크램프</t>
        </is>
      </c>
      <c r="C38" s="149" t="inlineStr">
        <is>
          <t>공용</t>
        </is>
      </c>
      <c r="D38" s="148" t="inlineStr">
        <is>
          <t>EA</t>
        </is>
      </c>
      <c r="E38" s="171" t="n">
        <v>0</v>
      </c>
      <c r="F38" s="149" t="inlineStr">
        <is>
          <t>[SUP]</t>
        </is>
      </c>
      <c r="G38" t="inlineStr">
        <is>
          <t>파이프행가로 대체</t>
        </is>
      </c>
    </row>
    <row r="39">
      <c r="A39" s="148" t="n">
        <v>38</v>
      </c>
      <c r="B39" s="149" t="inlineStr">
        <is>
          <t>전산볼트 M10 × 1m</t>
        </is>
      </c>
      <c r="C39" s="149" t="inlineStr">
        <is>
          <t>M10</t>
        </is>
      </c>
      <c r="D39" s="148" t="inlineStr">
        <is>
          <t>EA</t>
        </is>
      </c>
      <c r="E39" s="171" t="n">
        <v>0</v>
      </c>
      <c r="F39" s="149" t="inlineStr">
        <is>
          <t>[SUP]</t>
        </is>
      </c>
    </row>
    <row r="40">
      <c r="A40" s="148" t="n">
        <v>39</v>
      </c>
      <c r="B40" s="149" t="inlineStr">
        <is>
          <t>PVC 테이프</t>
        </is>
      </c>
      <c r="C40" s="149" t="inlineStr">
        <is>
          <t>19mm</t>
        </is>
      </c>
      <c r="D40" s="148" t="inlineStr">
        <is>
          <t>롤</t>
        </is>
      </c>
      <c r="E40" s="171" t="n">
        <v>21</v>
      </c>
      <c r="F40" s="149" t="inlineStr">
        <is>
          <t>[CMN]</t>
        </is>
      </c>
    </row>
    <row r="41">
      <c r="A41" s="148" t="n">
        <v>40</v>
      </c>
      <c r="B41" s="149" t="inlineStr">
        <is>
          <t>아울렛 박스 (4각)</t>
        </is>
      </c>
      <c r="C41" s="149" t="inlineStr">
        <is>
          <t>4각</t>
        </is>
      </c>
      <c r="D41" s="148" t="inlineStr">
        <is>
          <t>EA</t>
        </is>
      </c>
      <c r="E41" s="171" t="n">
        <v>0</v>
      </c>
      <c r="F41" s="149" t="inlineStr">
        <is>
          <t>[CMN]</t>
        </is>
      </c>
    </row>
    <row r="42">
      <c r="A42" s="148" t="n">
        <v>41</v>
      </c>
      <c r="B42" s="149" t="inlineStr">
        <is>
          <t>와이어 커넥터</t>
        </is>
      </c>
      <c r="C42" s="149" t="inlineStr">
        <is>
          <t>중</t>
        </is>
      </c>
      <c r="D42" s="148" t="inlineStr">
        <is>
          <t>셋</t>
        </is>
      </c>
      <c r="E42" s="171" t="n">
        <v>0</v>
      </c>
      <c r="F42" s="149" t="inlineStr">
        <is>
          <t>[CMN]</t>
        </is>
      </c>
    </row>
    <row r="43">
      <c r="A43" s="148" t="n">
        <v>42</v>
      </c>
      <c r="B43" s="149" t="inlineStr">
        <is>
          <t>풀박스</t>
        </is>
      </c>
      <c r="C43" s="149" t="inlineStr">
        <is>
          <t>200×200×100</t>
        </is>
      </c>
      <c r="D43" s="148" t="inlineStr">
        <is>
          <t>EA</t>
        </is>
      </c>
      <c r="E43" s="171" t="n">
        <v>2</v>
      </c>
      <c r="F43" s="149" t="inlineStr">
        <is>
          <t>[CMN]</t>
        </is>
      </c>
    </row>
    <row r="44">
      <c r="A44" s="148" t="n">
        <v>43</v>
      </c>
      <c r="B44" s="149" t="inlineStr">
        <is>
          <t>강제전선관 (ST)</t>
        </is>
      </c>
      <c r="C44" s="149" t="inlineStr">
        <is>
          <t>54mm</t>
        </is>
      </c>
      <c r="D44" s="148" t="inlineStr">
        <is>
          <t>m</t>
        </is>
      </c>
      <c r="E44" s="184" t="n">
        <v>72</v>
      </c>
      <c r="F44" s="149" t="inlineStr">
        <is>
          <t>[MAT]</t>
        </is>
      </c>
      <c r="G44" s="149" t="inlineStr">
        <is>
          <t>Phase2 재분포 ▲</t>
        </is>
      </c>
    </row>
    <row r="45">
      <c r="A45" s="148" t="n">
        <v>44</v>
      </c>
      <c r="B45" s="149" t="inlineStr">
        <is>
          <t>강제전선관 (ST)</t>
        </is>
      </c>
      <c r="C45" s="149" t="inlineStr">
        <is>
          <t>82mm</t>
        </is>
      </c>
      <c r="D45" s="148" t="inlineStr">
        <is>
          <t>m</t>
        </is>
      </c>
      <c r="E45" s="184" t="n">
        <v>77</v>
      </c>
      <c r="F45" s="149" t="inlineStr">
        <is>
          <t>[MAT]</t>
        </is>
      </c>
      <c r="G45" s="149" t="inlineStr">
        <is>
          <t>Phase2 재분포 ▲</t>
        </is>
      </c>
    </row>
    <row r="46">
      <c r="A46" s="148" t="n">
        <v>45</v>
      </c>
      <c r="B46" s="149" t="inlineStr">
        <is>
          <t>1종 가요전선관</t>
        </is>
      </c>
      <c r="C46" s="149" t="inlineStr">
        <is>
          <t>16mm (노출)</t>
        </is>
      </c>
      <c r="D46" s="148" t="inlineStr">
        <is>
          <t>m</t>
        </is>
      </c>
      <c r="E46" s="184" t="n">
        <v>0</v>
      </c>
      <c r="F46" s="149" t="inlineStr">
        <is>
          <t>[MAT]</t>
        </is>
      </c>
      <c r="G46" s="149" t="inlineStr">
        <is>
          <t>v3 폐기→Phase2 재분포</t>
        </is>
      </c>
    </row>
    <row r="47">
      <c r="A47" s="148" t="n">
        <v>46</v>
      </c>
      <c r="B47" s="149" t="inlineStr">
        <is>
          <t>1종 가요전선관</t>
        </is>
      </c>
      <c r="C47" s="149" t="inlineStr">
        <is>
          <t>22mm (노출)</t>
        </is>
      </c>
      <c r="D47" s="148" t="inlineStr">
        <is>
          <t>m</t>
        </is>
      </c>
      <c r="E47" s="184" t="n">
        <v>0</v>
      </c>
      <c r="F47" s="149" t="inlineStr">
        <is>
          <t>[MAT]</t>
        </is>
      </c>
      <c r="G47" s="149" t="inlineStr">
        <is>
          <t>v3 폐기→Phase2 재분포</t>
        </is>
      </c>
    </row>
    <row r="48">
      <c r="A48" s="148" t="n">
        <v>47</v>
      </c>
      <c r="B48" s="149" t="inlineStr">
        <is>
          <t>1종 가요전선관</t>
        </is>
      </c>
      <c r="C48" s="149" t="inlineStr">
        <is>
          <t>36mm (방수)</t>
        </is>
      </c>
      <c r="D48" s="148" t="inlineStr">
        <is>
          <t>m</t>
        </is>
      </c>
      <c r="E48" s="184" t="n">
        <v>0</v>
      </c>
      <c r="F48" s="149" t="inlineStr">
        <is>
          <t>[MAT]</t>
        </is>
      </c>
      <c r="G48" s="149" t="inlineStr">
        <is>
          <t>v3 폐기→Phase2 재분포</t>
        </is>
      </c>
    </row>
    <row r="49">
      <c r="A49" s="148" t="n">
        <v>48</v>
      </c>
      <c r="B49" s="149" t="inlineStr">
        <is>
          <t>1종 가요전선관</t>
        </is>
      </c>
      <c r="C49" s="149" t="inlineStr">
        <is>
          <t>54mm (간선)</t>
        </is>
      </c>
      <c r="D49" s="148" t="inlineStr">
        <is>
          <t>m</t>
        </is>
      </c>
      <c r="E49" s="184" t="n">
        <v>0</v>
      </c>
      <c r="F49" s="149" t="inlineStr">
        <is>
          <t>[MAT]</t>
        </is>
      </c>
      <c r="G49" s="149" t="inlineStr">
        <is>
          <t>v3 폐기→Phase2 재분포</t>
        </is>
      </c>
    </row>
    <row r="50">
      <c r="A50" s="148" t="n">
        <v>49</v>
      </c>
      <c r="B50" s="149" t="inlineStr">
        <is>
          <t>가요전선관 콘넥타</t>
        </is>
      </c>
      <c r="C50" s="149" t="inlineStr">
        <is>
          <t>16~54mm</t>
        </is>
      </c>
      <c r="D50" s="148" t="inlineStr">
        <is>
          <t>EA</t>
        </is>
      </c>
      <c r="E50" s="184" t="n">
        <v>0</v>
      </c>
      <c r="F50" s="149" t="inlineStr">
        <is>
          <t>[ACC]</t>
        </is>
      </c>
      <c r="G50" s="149" t="inlineStr">
        <is>
          <t>가요용</t>
        </is>
      </c>
    </row>
    <row r="51">
      <c r="A51" s="148" t="n">
        <v>50</v>
      </c>
      <c r="B51" s="149" t="inlineStr">
        <is>
          <t>HFIX 내열비닐</t>
        </is>
      </c>
      <c r="C51" s="149" t="inlineStr">
        <is>
          <t>1.5㎟ 2C (소방신호)</t>
        </is>
      </c>
      <c r="D51" s="148" t="inlineStr">
        <is>
          <t>m</t>
        </is>
      </c>
      <c r="E51" s="184" t="n">
        <v>1206</v>
      </c>
      <c r="F51" s="149" t="inlineStr">
        <is>
          <t>[MAT]</t>
        </is>
      </c>
      <c r="G51" s="149" t="inlineStr">
        <is>
          <t>Phase2 재분포 ▲</t>
        </is>
      </c>
    </row>
    <row r="52">
      <c r="A52" s="148" t="n">
        <v>51</v>
      </c>
      <c r="B52" s="149" t="inlineStr">
        <is>
          <t>F-GV 접지용비닐</t>
        </is>
      </c>
      <c r="C52" s="149" t="inlineStr">
        <is>
          <t>6㎟</t>
        </is>
      </c>
      <c r="D52" s="148" t="inlineStr">
        <is>
          <t>m</t>
        </is>
      </c>
      <c r="E52" s="184" t="n">
        <v>115</v>
      </c>
      <c r="F52" s="149" t="inlineStr">
        <is>
          <t>[MAT]</t>
        </is>
      </c>
      <c r="G52" s="149" t="inlineStr">
        <is>
          <t>Phase2 재분포 ▲</t>
        </is>
      </c>
    </row>
    <row r="53">
      <c r="A53" s="148" t="n">
        <v>52</v>
      </c>
      <c r="B53" s="149" t="inlineStr">
        <is>
          <t>F-GV 접지용비닐</t>
        </is>
      </c>
      <c r="C53" s="149" t="inlineStr">
        <is>
          <t>10㎟</t>
        </is>
      </c>
      <c r="D53" s="148" t="inlineStr">
        <is>
          <t>m</t>
        </is>
      </c>
      <c r="E53" s="184" t="n">
        <v>209</v>
      </c>
      <c r="F53" s="149" t="inlineStr">
        <is>
          <t>[MAT]</t>
        </is>
      </c>
      <c r="G53" s="149" t="inlineStr">
        <is>
          <t>Phase2 재분포 ▲</t>
        </is>
      </c>
    </row>
    <row r="54">
      <c r="A54" s="148" t="n">
        <v>53</v>
      </c>
      <c r="B54" s="149" t="inlineStr">
        <is>
          <t>F-GV 접지용비닐</t>
        </is>
      </c>
      <c r="C54" s="149" t="inlineStr">
        <is>
          <t>25㎟</t>
        </is>
      </c>
      <c r="D54" s="148" t="inlineStr">
        <is>
          <t>m</t>
        </is>
      </c>
      <c r="E54" s="184" t="n">
        <v>77</v>
      </c>
      <c r="F54" s="149" t="inlineStr">
        <is>
          <t>[MAT]</t>
        </is>
      </c>
      <c r="G54" s="149" t="inlineStr">
        <is>
          <t>Phase2 재분포 ▲</t>
        </is>
      </c>
    </row>
    <row r="55">
      <c r="A55" s="148" t="n">
        <v>54</v>
      </c>
      <c r="B55" s="149" t="inlineStr">
        <is>
          <t>F-GV 접지용비닐</t>
        </is>
      </c>
      <c r="C55" s="149" t="inlineStr">
        <is>
          <t>95㎟</t>
        </is>
      </c>
      <c r="D55" s="148" t="inlineStr">
        <is>
          <t>m</t>
        </is>
      </c>
      <c r="E55" s="184" t="n">
        <v>0</v>
      </c>
      <c r="F55" s="149" t="inlineStr">
        <is>
          <t>[MAT]</t>
        </is>
      </c>
      <c r="G55" s="149" t="inlineStr">
        <is>
          <t>F-CV95 1C경로(194.5÷4)</t>
        </is>
      </c>
    </row>
    <row r="56">
      <c r="A56" s="148" t="n">
        <v>55</v>
      </c>
      <c r="B56" s="149" t="inlineStr">
        <is>
          <t>스트롱앵커</t>
        </is>
      </c>
      <c r="C56" s="149" t="inlineStr">
        <is>
          <t>3/8 × 40L</t>
        </is>
      </c>
      <c r="D56" s="148" t="inlineStr">
        <is>
          <t>EA</t>
        </is>
      </c>
      <c r="E56" s="184" t="n">
        <v>0</v>
      </c>
      <c r="F56" s="149" t="inlineStr">
        <is>
          <t>[SUP]</t>
        </is>
      </c>
      <c r="G56" s="149" t="inlineStr">
        <is>
          <t>행거 1:1</t>
        </is>
      </c>
    </row>
    <row r="57">
      <c r="A57" s="148" t="n">
        <v>56</v>
      </c>
      <c r="B57" s="149" t="inlineStr">
        <is>
          <t>6각너트</t>
        </is>
      </c>
      <c r="C57" s="149" t="inlineStr">
        <is>
          <t>3/8</t>
        </is>
      </c>
      <c r="D57" s="148" t="inlineStr">
        <is>
          <t>EA</t>
        </is>
      </c>
      <c r="E57" s="184" t="n">
        <v>0</v>
      </c>
      <c r="F57" s="149" t="inlineStr">
        <is>
          <t>[SUP]</t>
        </is>
      </c>
      <c r="G57" s="149" t="inlineStr">
        <is>
          <t>앵커당 2개</t>
        </is>
      </c>
    </row>
    <row r="58">
      <c r="A58" s="148" t="n">
        <v>57</v>
      </c>
      <c r="B58" s="149" t="inlineStr">
        <is>
          <t>스프링와샤</t>
        </is>
      </c>
      <c r="C58" s="149" t="inlineStr">
        <is>
          <t>D10</t>
        </is>
      </c>
      <c r="D58" s="148" t="inlineStr">
        <is>
          <t>EA</t>
        </is>
      </c>
      <c r="E58" s="184" t="n">
        <v>4014</v>
      </c>
      <c r="F58" s="149" t="inlineStr">
        <is>
          <t>[SUP]</t>
        </is>
      </c>
      <c r="G58" s="149" t="inlineStr">
        <is>
          <t>Phase2 재분포 ▲</t>
        </is>
      </c>
    </row>
    <row r="59">
      <c r="A59" s="148" t="n">
        <v>58</v>
      </c>
      <c r="B59" s="149" t="inlineStr">
        <is>
          <t>커플링</t>
        </is>
      </c>
      <c r="C59" s="149" t="inlineStr">
        <is>
          <t>54mm</t>
        </is>
      </c>
      <c r="D59" s="148" t="inlineStr">
        <is>
          <t>EA</t>
        </is>
      </c>
      <c r="E59" s="184" t="n">
        <v>20</v>
      </c>
      <c r="F59" s="149" t="inlineStr">
        <is>
          <t>[ACC]</t>
        </is>
      </c>
      <c r="G59" s="149" t="inlineStr">
        <is>
          <t>ST 간선</t>
        </is>
      </c>
    </row>
    <row r="60">
      <c r="A60" s="148" t="n">
        <v>59</v>
      </c>
      <c r="B60" s="149" t="inlineStr">
        <is>
          <t>새들</t>
        </is>
      </c>
      <c r="C60" s="149" t="inlineStr">
        <is>
          <t>54mm</t>
        </is>
      </c>
      <c r="D60" s="148" t="inlineStr">
        <is>
          <t>EA</t>
        </is>
      </c>
      <c r="E60" s="184" t="n">
        <v>48</v>
      </c>
      <c r="F60" s="149" t="inlineStr">
        <is>
          <t>[ACC]</t>
        </is>
      </c>
      <c r="G60" s="149" t="inlineStr">
        <is>
          <t>ST 간선</t>
        </is>
      </c>
    </row>
    <row r="61">
      <c r="A61" s="148" t="n">
        <v>60</v>
      </c>
      <c r="B61" s="149" t="inlineStr">
        <is>
          <t>커넥터</t>
        </is>
      </c>
      <c r="C61" s="149" t="inlineStr">
        <is>
          <t>54mm</t>
        </is>
      </c>
      <c r="D61" s="148" t="inlineStr">
        <is>
          <t>EA</t>
        </is>
      </c>
      <c r="E61" s="184" t="n">
        <v>4</v>
      </c>
      <c r="F61" s="149" t="inlineStr">
        <is>
          <t>[ACC]</t>
        </is>
      </c>
      <c r="G61" s="149" t="inlineStr">
        <is>
          <t>양단</t>
        </is>
      </c>
    </row>
    <row r="62">
      <c r="A62" s="148" t="n">
        <v>61</v>
      </c>
      <c r="B62" s="149" t="inlineStr">
        <is>
          <t>부싱</t>
        </is>
      </c>
      <c r="C62" s="149" t="inlineStr">
        <is>
          <t>54mm</t>
        </is>
      </c>
      <c r="D62" s="148" t="inlineStr">
        <is>
          <t>EA</t>
        </is>
      </c>
      <c r="E62" s="184" t="n">
        <v>4</v>
      </c>
      <c r="F62" s="149" t="inlineStr">
        <is>
          <t>[ACC]</t>
        </is>
      </c>
      <c r="G62" s="149" t="inlineStr">
        <is>
          <t>양단</t>
        </is>
      </c>
    </row>
    <row r="63">
      <c r="A63" s="148" t="n">
        <v>62</v>
      </c>
      <c r="B63" s="149" t="inlineStr">
        <is>
          <t>로크너트</t>
        </is>
      </c>
      <c r="C63" s="149" t="inlineStr">
        <is>
          <t>54mm</t>
        </is>
      </c>
      <c r="D63" s="148" t="inlineStr">
        <is>
          <t>EA</t>
        </is>
      </c>
      <c r="E63" s="184" t="n">
        <v>8</v>
      </c>
      <c r="F63" s="149" t="inlineStr">
        <is>
          <t>[ACC]</t>
        </is>
      </c>
      <c r="G63" s="149" t="inlineStr">
        <is>
          <t>양단 2EA</t>
        </is>
      </c>
    </row>
    <row r="64">
      <c r="A64" s="148" t="n">
        <v>63</v>
      </c>
      <c r="B64" s="149" t="inlineStr">
        <is>
          <t>커플링</t>
        </is>
      </c>
      <c r="C64" s="149" t="inlineStr">
        <is>
          <t>82mm</t>
        </is>
      </c>
      <c r="D64" s="148" t="inlineStr">
        <is>
          <t>EA</t>
        </is>
      </c>
      <c r="E64" s="184" t="n">
        <v>22</v>
      </c>
      <c r="F64" s="149" t="inlineStr">
        <is>
          <t>[ACC]</t>
        </is>
      </c>
      <c r="G64" s="149" t="inlineStr">
        <is>
          <t>ST 간선</t>
        </is>
      </c>
    </row>
    <row r="65">
      <c r="A65" s="148" t="n">
        <v>64</v>
      </c>
      <c r="B65" s="149" t="inlineStr">
        <is>
          <t>새들</t>
        </is>
      </c>
      <c r="C65" s="149" t="inlineStr">
        <is>
          <t>82mm</t>
        </is>
      </c>
      <c r="D65" s="148" t="inlineStr">
        <is>
          <t>EA</t>
        </is>
      </c>
      <c r="E65" s="184" t="n">
        <v>52</v>
      </c>
      <c r="F65" s="149" t="inlineStr">
        <is>
          <t>[ACC]</t>
        </is>
      </c>
      <c r="G65" s="149" t="inlineStr">
        <is>
          <t>ST 간선</t>
        </is>
      </c>
    </row>
    <row r="66">
      <c r="A66" s="148" t="n">
        <v>65</v>
      </c>
      <c r="B66" s="149" t="inlineStr">
        <is>
          <t>커넥터</t>
        </is>
      </c>
      <c r="C66" s="149" t="inlineStr">
        <is>
          <t>82mm</t>
        </is>
      </c>
      <c r="D66" s="148" t="inlineStr">
        <is>
          <t>EA</t>
        </is>
      </c>
      <c r="E66" s="184" t="n">
        <v>4</v>
      </c>
      <c r="F66" s="149" t="inlineStr">
        <is>
          <t>[ACC]</t>
        </is>
      </c>
      <c r="G66" s="149" t="inlineStr">
        <is>
          <t>양단</t>
        </is>
      </c>
    </row>
    <row r="67">
      <c r="A67" s="148" t="n">
        <v>66</v>
      </c>
      <c r="B67" s="149" t="inlineStr">
        <is>
          <t>부싱</t>
        </is>
      </c>
      <c r="C67" s="149" t="inlineStr">
        <is>
          <t>82mm</t>
        </is>
      </c>
      <c r="D67" s="148" t="inlineStr">
        <is>
          <t>EA</t>
        </is>
      </c>
      <c r="E67" s="184" t="n">
        <v>4</v>
      </c>
      <c r="F67" s="149" t="inlineStr">
        <is>
          <t>[ACC]</t>
        </is>
      </c>
      <c r="G67" s="149" t="inlineStr">
        <is>
          <t>양단</t>
        </is>
      </c>
    </row>
    <row r="68">
      <c r="A68" s="148" t="n">
        <v>67</v>
      </c>
      <c r="B68" s="149" t="inlineStr">
        <is>
          <t>로크너트</t>
        </is>
      </c>
      <c r="C68" s="149" t="inlineStr">
        <is>
          <t>82mm</t>
        </is>
      </c>
      <c r="D68" s="148" t="inlineStr">
        <is>
          <t>EA</t>
        </is>
      </c>
      <c r="E68" s="184" t="n">
        <v>8</v>
      </c>
      <c r="F68" s="149" t="inlineStr">
        <is>
          <t>[ACC]</t>
        </is>
      </c>
      <c r="G68" s="149" t="inlineStr">
        <is>
          <t>양단 2EA</t>
        </is>
      </c>
    </row>
    <row r="69">
      <c r="A69" s="148" t="n">
        <v>68</v>
      </c>
      <c r="B69" s="149" t="inlineStr">
        <is>
          <t>노말밴드</t>
        </is>
      </c>
      <c r="C69" s="149" t="inlineStr">
        <is>
          <t>28~82mm</t>
        </is>
      </c>
      <c r="D69" s="148" t="inlineStr">
        <is>
          <t>EA</t>
        </is>
      </c>
      <c r="E69" s="184" t="n">
        <v>0</v>
      </c>
      <c r="F69" s="149" t="inlineStr">
        <is>
          <t>[ACC]</t>
        </is>
      </c>
      <c r="G69" s="149" t="inlineStr">
        <is>
          <t>꺾임부 (▲추정)</t>
        </is>
      </c>
    </row>
    <row r="70">
      <c r="A70" s="148" t="n">
        <v>69</v>
      </c>
      <c r="B70" s="149" t="inlineStr">
        <is>
          <t>러그단자</t>
        </is>
      </c>
      <c r="C70" s="149" t="inlineStr">
        <is>
          <t>25~95㎟</t>
        </is>
      </c>
      <c r="D70" s="148" t="inlineStr">
        <is>
          <t>EA</t>
        </is>
      </c>
      <c r="E70" s="184" t="n">
        <v>0</v>
      </c>
      <c r="F70" s="149" t="inlineStr">
        <is>
          <t>[ACC]</t>
        </is>
      </c>
      <c r="G70" s="149" t="inlineStr">
        <is>
          <t>간선 단말처리</t>
        </is>
      </c>
    </row>
    <row r="71">
      <c r="A71" s="148" t="n">
        <v>70</v>
      </c>
      <c r="B71" s="149" t="inlineStr">
        <is>
          <t>압착단자</t>
        </is>
      </c>
      <c r="C71" s="149" t="inlineStr">
        <is>
          <t>6~10㎟</t>
        </is>
      </c>
      <c r="D71" s="148" t="inlineStr">
        <is>
          <t>EA</t>
        </is>
      </c>
      <c r="E71" s="184" t="n">
        <v>0</v>
      </c>
      <c r="F71" s="149" t="inlineStr">
        <is>
          <t>[ACC]</t>
        </is>
      </c>
      <c r="G71" s="149" t="inlineStr">
        <is>
          <t>분기 단말처리</t>
        </is>
      </c>
    </row>
    <row r="72">
      <c r="A72" s="148" t="n">
        <v>71</v>
      </c>
      <c r="B72" s="149" t="inlineStr">
        <is>
          <t>터미날캡</t>
        </is>
      </c>
      <c r="C72" s="149" t="inlineStr">
        <is>
          <t>6~95㎟</t>
        </is>
      </c>
      <c r="D72" s="148" t="inlineStr">
        <is>
          <t>EA</t>
        </is>
      </c>
      <c r="E72" s="184" t="n">
        <v>0</v>
      </c>
      <c r="F72" s="149" t="inlineStr">
        <is>
          <t>[ACC]</t>
        </is>
      </c>
      <c r="G72" s="149" t="inlineStr">
        <is>
          <t>단말 절연</t>
        </is>
      </c>
    </row>
    <row r="73">
      <c r="A73" s="185" t="n">
        <v>72</v>
      </c>
      <c r="B73" s="186" t="inlineStr">
        <is>
          <t>1종 가요전선관-노출</t>
        </is>
      </c>
      <c r="C73" s="186" t="inlineStr">
        <is>
          <t>16mm 일반-비방수</t>
        </is>
      </c>
      <c r="D73" s="185" t="inlineStr">
        <is>
          <t>m</t>
        </is>
      </c>
      <c r="E73" s="187" t="n">
        <v>661</v>
      </c>
      <c r="F73" s="186" t="inlineStr">
        <is>
          <t>[MAT]</t>
        </is>
      </c>
      <c r="G73" s="186" t="inlineStr">
        <is>
          <t>Phase2 재분포 ▲</t>
        </is>
      </c>
    </row>
    <row r="74">
      <c r="A74" s="185" t="n">
        <v>73</v>
      </c>
      <c r="B74" s="186" t="inlineStr">
        <is>
          <t>1종 가요전선관</t>
        </is>
      </c>
      <c r="C74" s="186" t="inlineStr">
        <is>
          <t>22mm 일반-비방수</t>
        </is>
      </c>
      <c r="D74" s="185" t="inlineStr">
        <is>
          <t>m</t>
        </is>
      </c>
      <c r="E74" s="187" t="n">
        <v>5</v>
      </c>
      <c r="F74" s="186" t="inlineStr">
        <is>
          <t>[MAT]</t>
        </is>
      </c>
      <c r="G74" s="186" t="inlineStr">
        <is>
          <t>Phase2 재분포 ▲</t>
        </is>
      </c>
    </row>
    <row r="75">
      <c r="A75" s="185" t="n">
        <v>74</v>
      </c>
      <c r="B75" s="186" t="inlineStr">
        <is>
          <t>1종 가요전선관</t>
        </is>
      </c>
      <c r="C75" s="186" t="inlineStr">
        <is>
          <t>36mm 일반-비방수</t>
        </is>
      </c>
      <c r="D75" s="185" t="inlineStr">
        <is>
          <t>m</t>
        </is>
      </c>
      <c r="E75" s="187" t="n">
        <v>9</v>
      </c>
      <c r="F75" s="186" t="inlineStr">
        <is>
          <t>[MAT]</t>
        </is>
      </c>
      <c r="G75" s="186" t="inlineStr">
        <is>
          <t>Phase2 재분포 ▲</t>
        </is>
      </c>
    </row>
    <row r="76">
      <c r="A76" s="185" t="n">
        <v>75</v>
      </c>
      <c r="B76" s="186" t="inlineStr">
        <is>
          <t>1종 가요전선관</t>
        </is>
      </c>
      <c r="C76" s="186" t="inlineStr">
        <is>
          <t>54mm 일반-비방수</t>
        </is>
      </c>
      <c r="D76" s="185" t="inlineStr">
        <is>
          <t>m</t>
        </is>
      </c>
      <c r="E76" s="187" t="n">
        <v>119</v>
      </c>
      <c r="F76" s="186" t="inlineStr">
        <is>
          <t>[MAT]</t>
        </is>
      </c>
      <c r="G76" s="186" t="inlineStr">
        <is>
          <t>Phase2 재분포 ▲</t>
        </is>
      </c>
    </row>
    <row r="77">
      <c r="A77" s="185" t="n">
        <v>76</v>
      </c>
      <c r="B77" s="186" t="inlineStr">
        <is>
          <t>1종 가요전선관</t>
        </is>
      </c>
      <c r="C77" s="186" t="inlineStr">
        <is>
          <t>28mm 일반-방수</t>
        </is>
      </c>
      <c r="D77" s="185" t="inlineStr">
        <is>
          <t>m</t>
        </is>
      </c>
      <c r="E77" s="187" t="n">
        <v>69</v>
      </c>
      <c r="F77" s="186" t="inlineStr">
        <is>
          <t>[MAT]</t>
        </is>
      </c>
      <c r="G77" s="186" t="inlineStr">
        <is>
          <t>Phase2 재분포 ▲</t>
        </is>
      </c>
    </row>
    <row r="78">
      <c r="A78" s="185" t="n">
        <v>77</v>
      </c>
      <c r="B78" s="186" t="inlineStr">
        <is>
          <t>1종 가요전선관</t>
        </is>
      </c>
      <c r="C78" s="186" t="inlineStr">
        <is>
          <t>36mm 일반-방수</t>
        </is>
      </c>
      <c r="D78" s="185" t="inlineStr">
        <is>
          <t>m</t>
        </is>
      </c>
      <c r="E78" s="187" t="n">
        <v>39</v>
      </c>
      <c r="F78" s="186" t="inlineStr">
        <is>
          <t>[MAT]</t>
        </is>
      </c>
      <c r="G78" s="186" t="inlineStr">
        <is>
          <t>Phase2 재분포 ▲</t>
        </is>
      </c>
    </row>
    <row r="79">
      <c r="A79" s="185" t="n">
        <v>78</v>
      </c>
      <c r="B79" s="186" t="inlineStr">
        <is>
          <t>1종 가요전선관</t>
        </is>
      </c>
      <c r="C79" s="186" t="inlineStr">
        <is>
          <t>28mm 고장력-방수</t>
        </is>
      </c>
      <c r="D79" s="185" t="inlineStr">
        <is>
          <t>m</t>
        </is>
      </c>
      <c r="E79" s="187" t="n">
        <v>16</v>
      </c>
      <c r="F79" s="186" t="inlineStr">
        <is>
          <t>[MAT]</t>
        </is>
      </c>
      <c r="G79" s="186" t="inlineStr">
        <is>
          <t>Phase2 재분포 ▲</t>
        </is>
      </c>
    </row>
    <row r="80">
      <c r="A80" s="185" t="n">
        <v>79</v>
      </c>
      <c r="B80" s="186" t="inlineStr">
        <is>
          <t>1종 가요전선관</t>
        </is>
      </c>
      <c r="C80" s="186" t="inlineStr">
        <is>
          <t>36mm 고장력-방수</t>
        </is>
      </c>
      <c r="D80" s="185" t="inlineStr">
        <is>
          <t>m</t>
        </is>
      </c>
      <c r="E80" s="187" t="n">
        <v>16</v>
      </c>
      <c r="F80" s="186" t="inlineStr">
        <is>
          <t>[MAT]</t>
        </is>
      </c>
      <c r="G80" s="186" t="inlineStr">
        <is>
          <t>Phase2 재분포 ▲</t>
        </is>
      </c>
    </row>
    <row r="81">
      <c r="A81" s="185" t="n">
        <v>80</v>
      </c>
      <c r="B81" s="186" t="inlineStr">
        <is>
          <t>가요전선관 콘넥타</t>
        </is>
      </c>
      <c r="C81" s="186" t="inlineStr">
        <is>
          <t>16mm 일반-비방수</t>
        </is>
      </c>
      <c r="D81" s="185" t="inlineStr">
        <is>
          <t>EA</t>
        </is>
      </c>
      <c r="E81" s="187" t="n">
        <v>504</v>
      </c>
      <c r="F81" s="186" t="inlineStr">
        <is>
          <t>[ACC]</t>
        </is>
      </c>
      <c r="G81" s="186" t="inlineStr">
        <is>
          <t>Phase2 재분포 ▲</t>
        </is>
      </c>
    </row>
    <row r="82">
      <c r="A82" s="185" t="n">
        <v>81</v>
      </c>
      <c r="B82" s="186" t="inlineStr">
        <is>
          <t>가요전선관 콘넥타</t>
        </is>
      </c>
      <c r="C82" s="186" t="inlineStr">
        <is>
          <t>22mm 일반-비방수</t>
        </is>
      </c>
      <c r="D82" s="185" t="inlineStr">
        <is>
          <t>EA</t>
        </is>
      </c>
      <c r="E82" s="187" t="n">
        <v>36</v>
      </c>
      <c r="F82" s="186" t="inlineStr">
        <is>
          <t>[ACC]</t>
        </is>
      </c>
      <c r="G82" s="186" t="inlineStr">
        <is>
          <t>Phase2 재분포 ▲</t>
        </is>
      </c>
    </row>
    <row r="83">
      <c r="A83" s="185" t="n">
        <v>82</v>
      </c>
      <c r="B83" s="186" t="inlineStr">
        <is>
          <t>가요전선관 콘넥타</t>
        </is>
      </c>
      <c r="C83" s="186" t="inlineStr">
        <is>
          <t>28mm 일반-방수</t>
        </is>
      </c>
      <c r="D83" s="185" t="inlineStr">
        <is>
          <t>EA</t>
        </is>
      </c>
      <c r="E83" s="187" t="n">
        <v>20</v>
      </c>
      <c r="F83" s="186" t="inlineStr">
        <is>
          <t>[ACC]</t>
        </is>
      </c>
      <c r="G83" s="186" t="inlineStr">
        <is>
          <t>Phase2 재분포 ▲</t>
        </is>
      </c>
    </row>
    <row r="84">
      <c r="A84" s="185" t="n">
        <v>83</v>
      </c>
      <c r="B84" s="186" t="inlineStr">
        <is>
          <t>가요전선관 콘넥타</t>
        </is>
      </c>
      <c r="C84" s="186" t="inlineStr">
        <is>
          <t>36mm 일반-방수</t>
        </is>
      </c>
      <c r="D84" s="185" t="inlineStr">
        <is>
          <t>EA</t>
        </is>
      </c>
      <c r="E84" s="187" t="n">
        <v>4</v>
      </c>
      <c r="F84" s="186" t="inlineStr">
        <is>
          <t>[ACC]</t>
        </is>
      </c>
      <c r="G84" s="186" t="inlineStr">
        <is>
          <t>Phase2 재분포 ▲</t>
        </is>
      </c>
    </row>
    <row r="85">
      <c r="A85" s="185" t="n">
        <v>84</v>
      </c>
      <c r="B85" s="186" t="inlineStr">
        <is>
          <t>가요전선관 콘넥타</t>
        </is>
      </c>
      <c r="C85" s="186" t="inlineStr">
        <is>
          <t>KS방수 28mm</t>
        </is>
      </c>
      <c r="D85" s="185" t="inlineStr">
        <is>
          <t>EA</t>
        </is>
      </c>
      <c r="E85" s="187" t="n">
        <v>4</v>
      </c>
      <c r="F85" s="186" t="inlineStr">
        <is>
          <t>[ACC]</t>
        </is>
      </c>
      <c r="G85" s="186" t="inlineStr">
        <is>
          <t>Phase2 재분포 ▲</t>
        </is>
      </c>
    </row>
    <row r="86">
      <c r="A86" s="185" t="n">
        <v>85</v>
      </c>
      <c r="B86" s="186" t="inlineStr">
        <is>
          <t>가요전선관 콘넥타</t>
        </is>
      </c>
      <c r="C86" s="186" t="inlineStr">
        <is>
          <t>KS방수 36mm</t>
        </is>
      </c>
      <c r="D86" s="185" t="inlineStr">
        <is>
          <t>EA</t>
        </is>
      </c>
      <c r="E86" s="187" t="n">
        <v>4</v>
      </c>
      <c r="F86" s="186" t="inlineStr">
        <is>
          <t>[ACC]</t>
        </is>
      </c>
      <c r="G86" s="186" t="inlineStr">
        <is>
          <t>Phase2 재분포 ▲</t>
        </is>
      </c>
    </row>
    <row r="87">
      <c r="A87" s="185" t="n">
        <v>86</v>
      </c>
      <c r="B87" s="186" t="inlineStr">
        <is>
          <t>HFIX 내열비닐</t>
        </is>
      </c>
      <c r="C87" s="186" t="inlineStr">
        <is>
          <t>2.25mm (4㎟) 3C</t>
        </is>
      </c>
      <c r="D87" s="185" t="inlineStr">
        <is>
          <t>m</t>
        </is>
      </c>
      <c r="E87" s="187" t="n">
        <v>2001</v>
      </c>
      <c r="F87" s="186" t="inlineStr">
        <is>
          <t>[MAT]</t>
        </is>
      </c>
      <c r="G87" s="186" t="inlineStr">
        <is>
          <t>Phase2 재분포 ▲</t>
        </is>
      </c>
    </row>
    <row r="88">
      <c r="A88" s="185" t="n">
        <v>87</v>
      </c>
      <c r="B88" s="186" t="inlineStr">
        <is>
          <t>HFIX 내열비닐</t>
        </is>
      </c>
      <c r="C88" s="186" t="inlineStr">
        <is>
          <t>4㎟</t>
        </is>
      </c>
      <c r="D88" s="185" t="inlineStr">
        <is>
          <t>m</t>
        </is>
      </c>
      <c r="E88" s="187" t="n">
        <v>3165</v>
      </c>
      <c r="F88" s="186" t="inlineStr">
        <is>
          <t>[MAT]</t>
        </is>
      </c>
      <c r="G88" s="186" t="inlineStr">
        <is>
          <t>Phase2 재분포 ▲</t>
        </is>
      </c>
    </row>
    <row r="89">
      <c r="A89" s="185" t="n">
        <v>88</v>
      </c>
      <c r="B89" s="186" t="inlineStr">
        <is>
          <t>F-GV 접지용비닐</t>
        </is>
      </c>
      <c r="C89" s="186" t="inlineStr">
        <is>
          <t>4㎟</t>
        </is>
      </c>
      <c r="D89" s="185" t="inlineStr">
        <is>
          <t>m</t>
        </is>
      </c>
      <c r="E89" s="187" t="n">
        <v>506</v>
      </c>
      <c r="F89" s="186" t="inlineStr">
        <is>
          <t>[MAT]</t>
        </is>
      </c>
      <c r="G89" s="186" t="inlineStr">
        <is>
          <t>Phase2 재분포 ▲</t>
        </is>
      </c>
    </row>
    <row r="90">
      <c r="A90" s="185" t="n">
        <v>89</v>
      </c>
      <c r="B90" s="186" t="inlineStr">
        <is>
          <t>F-GV 접지용비닐</t>
        </is>
      </c>
      <c r="C90" s="186" t="inlineStr">
        <is>
          <t>50㎟</t>
        </is>
      </c>
      <c r="D90" s="185" t="inlineStr">
        <is>
          <t>m</t>
        </is>
      </c>
      <c r="E90" s="187" t="n">
        <v>83</v>
      </c>
      <c r="F90" s="186" t="inlineStr">
        <is>
          <t>[MAT]</t>
        </is>
      </c>
      <c r="G90" s="186" t="inlineStr">
        <is>
          <t>Phase2 재분포 ▲</t>
        </is>
      </c>
    </row>
    <row r="91">
      <c r="A91" s="185" t="n">
        <v>90</v>
      </c>
      <c r="B91" s="186" t="inlineStr">
        <is>
          <t>F-CV 0.6/1kV</t>
        </is>
      </c>
      <c r="C91" s="186" t="inlineStr">
        <is>
          <t>1C × 10㎟</t>
        </is>
      </c>
      <c r="D91" s="185" t="inlineStr">
        <is>
          <t>m</t>
        </is>
      </c>
      <c r="E91" s="187" t="n">
        <v>34</v>
      </c>
      <c r="F91" s="186" t="inlineStr">
        <is>
          <t>[MAT]</t>
        </is>
      </c>
      <c r="G91" s="186" t="inlineStr">
        <is>
          <t>Phase2 신설 ▲</t>
        </is>
      </c>
    </row>
    <row r="92">
      <c r="A92" s="185" t="n">
        <v>91</v>
      </c>
      <c r="B92" s="186" t="inlineStr">
        <is>
          <t>F-CV 0.6/1kV</t>
        </is>
      </c>
      <c r="C92" s="186" t="inlineStr">
        <is>
          <t>1C × 25㎟</t>
        </is>
      </c>
      <c r="D92" s="185" t="inlineStr">
        <is>
          <t>m</t>
        </is>
      </c>
      <c r="E92" s="187" t="n">
        <v>294</v>
      </c>
      <c r="F92" s="186" t="inlineStr">
        <is>
          <t>[MAT]</t>
        </is>
      </c>
      <c r="G92" s="186" t="inlineStr">
        <is>
          <t>Phase2 신설 ▲</t>
        </is>
      </c>
    </row>
    <row r="93">
      <c r="A93" s="185" t="n">
        <v>92</v>
      </c>
      <c r="B93" s="186" t="inlineStr">
        <is>
          <t>F-CV 0.6/1kV</t>
        </is>
      </c>
      <c r="C93" s="186" t="inlineStr">
        <is>
          <t>1C × 95㎟</t>
        </is>
      </c>
      <c r="D93" s="185" t="inlineStr">
        <is>
          <t>m</t>
        </is>
      </c>
      <c r="E93" s="187" t="n">
        <v>315</v>
      </c>
      <c r="F93" s="186" t="inlineStr">
        <is>
          <t>[MAT]</t>
        </is>
      </c>
      <c r="G93" s="186" t="inlineStr">
        <is>
          <t>Phase2 신설 ▲</t>
        </is>
      </c>
    </row>
    <row r="94">
      <c r="A94" s="185" t="n">
        <v>93</v>
      </c>
      <c r="B94" s="186" t="inlineStr">
        <is>
          <t>F-CV 0.6/1kV</t>
        </is>
      </c>
      <c r="C94" s="186" t="inlineStr">
        <is>
          <t>3C × 4㎟</t>
        </is>
      </c>
      <c r="D94" s="185" t="inlineStr">
        <is>
          <t>m</t>
        </is>
      </c>
      <c r="E94" s="187" t="n">
        <v>483</v>
      </c>
      <c r="F94" s="186" t="inlineStr">
        <is>
          <t>[MAT]</t>
        </is>
      </c>
      <c r="G94" s="186" t="inlineStr">
        <is>
          <t>Phase2 재분포 ▲</t>
        </is>
      </c>
    </row>
    <row r="95">
      <c r="A95" s="185" t="n">
        <v>94</v>
      </c>
      <c r="B95" s="186" t="inlineStr">
        <is>
          <t>F-CV 0.6/1kV</t>
        </is>
      </c>
      <c r="C95" s="186" t="inlineStr">
        <is>
          <t>4C × 4㎟</t>
        </is>
      </c>
      <c r="D95" s="185" t="inlineStr">
        <is>
          <t>m</t>
        </is>
      </c>
      <c r="E95" s="187" t="n">
        <v>49</v>
      </c>
      <c r="F95" s="186" t="inlineStr">
        <is>
          <t>[MAT]</t>
        </is>
      </c>
      <c r="G95" s="186" t="inlineStr">
        <is>
          <t>Phase2 재분포 ▲</t>
        </is>
      </c>
    </row>
    <row r="96">
      <c r="A96" s="185" t="n">
        <v>95</v>
      </c>
      <c r="B96" s="186" t="inlineStr">
        <is>
          <t>F-CV 0.6/1kV</t>
        </is>
      </c>
      <c r="C96" s="186" t="inlineStr">
        <is>
          <t>4C × 6㎟</t>
        </is>
      </c>
      <c r="D96" s="185" t="inlineStr">
        <is>
          <t>m</t>
        </is>
      </c>
      <c r="E96" s="187" t="n">
        <v>45</v>
      </c>
      <c r="F96" s="186" t="inlineStr">
        <is>
          <t>[MAT]</t>
        </is>
      </c>
      <c r="G96" s="186" t="inlineStr">
        <is>
          <t>Phase2 재분포 ▲</t>
        </is>
      </c>
    </row>
    <row r="97">
      <c r="A97" s="185" t="n">
        <v>96</v>
      </c>
      <c r="B97" s="186" t="inlineStr">
        <is>
          <t>F-CV 0.6/1kV</t>
        </is>
      </c>
      <c r="C97" s="186" t="inlineStr">
        <is>
          <t>4C × 10㎟</t>
        </is>
      </c>
      <c r="D97" s="185" t="inlineStr">
        <is>
          <t>m</t>
        </is>
      </c>
      <c r="E97" s="187" t="n">
        <v>147</v>
      </c>
      <c r="F97" s="186" t="inlineStr">
        <is>
          <t>[MAT]</t>
        </is>
      </c>
      <c r="G97" s="186" t="inlineStr">
        <is>
          <t>Phase2 재분포 ▲</t>
        </is>
      </c>
    </row>
    <row r="98">
      <c r="A98" s="185" t="n">
        <v>97</v>
      </c>
      <c r="B98" s="186" t="inlineStr">
        <is>
          <t>F-CV 0.6/1kV</t>
        </is>
      </c>
      <c r="C98" s="186" t="inlineStr">
        <is>
          <t>4C × 16㎟</t>
        </is>
      </c>
      <c r="D98" s="185" t="inlineStr">
        <is>
          <t>m</t>
        </is>
      </c>
      <c r="E98" s="187" t="n">
        <v>110</v>
      </c>
      <c r="F98" s="186" t="inlineStr">
        <is>
          <t>[MAT]</t>
        </is>
      </c>
      <c r="G98" s="186" t="inlineStr">
        <is>
          <t>Phase2 신설 ▲</t>
        </is>
      </c>
    </row>
    <row r="99">
      <c r="A99" s="185" t="n">
        <v>98</v>
      </c>
      <c r="B99" s="186" t="inlineStr">
        <is>
          <t>파이프행가</t>
        </is>
      </c>
      <c r="C99" s="186" t="inlineStr">
        <is>
          <t>16C</t>
        </is>
      </c>
      <c r="D99" s="185" t="inlineStr">
        <is>
          <t>EA</t>
        </is>
      </c>
      <c r="E99" s="187" t="n">
        <v>671</v>
      </c>
      <c r="F99" s="186" t="inlineStr">
        <is>
          <t>[SUP]</t>
        </is>
      </c>
      <c r="G99" s="186" t="inlineStr">
        <is>
          <t>Phase2 재분포 ▲</t>
        </is>
      </c>
    </row>
    <row r="100">
      <c r="A100" s="185" t="n">
        <v>99</v>
      </c>
      <c r="B100" s="186" t="inlineStr">
        <is>
          <t>파이프행가</t>
        </is>
      </c>
      <c r="C100" s="186" t="inlineStr">
        <is>
          <t>22C</t>
        </is>
      </c>
      <c r="D100" s="185" t="inlineStr">
        <is>
          <t>EA</t>
        </is>
      </c>
      <c r="E100" s="187" t="n">
        <v>1036</v>
      </c>
      <c r="F100" s="186" t="inlineStr">
        <is>
          <t>[SUP]</t>
        </is>
      </c>
      <c r="G100" s="186" t="inlineStr">
        <is>
          <t>Phase2 재분포 ▲</t>
        </is>
      </c>
    </row>
    <row r="101">
      <c r="A101" s="185" t="n">
        <v>100</v>
      </c>
      <c r="B101" s="186" t="inlineStr">
        <is>
          <t>파이프행가</t>
        </is>
      </c>
      <c r="C101" s="186" t="inlineStr">
        <is>
          <t>28C</t>
        </is>
      </c>
      <c r="D101" s="185" t="inlineStr">
        <is>
          <t>EA</t>
        </is>
      </c>
      <c r="E101" s="187" t="n">
        <v>88</v>
      </c>
      <c r="F101" s="186" t="inlineStr">
        <is>
          <t>[SUP]</t>
        </is>
      </c>
      <c r="G101" s="186" t="inlineStr">
        <is>
          <t>Phase2 재분포 ▲</t>
        </is>
      </c>
    </row>
    <row r="102">
      <c r="A102" s="185" t="n">
        <v>101</v>
      </c>
      <c r="B102" s="186" t="inlineStr">
        <is>
          <t>파이프행가</t>
        </is>
      </c>
      <c r="C102" s="186" t="inlineStr">
        <is>
          <t>36C</t>
        </is>
      </c>
      <c r="D102" s="185" t="inlineStr">
        <is>
          <t>EA</t>
        </is>
      </c>
      <c r="E102" s="187" t="n">
        <v>85</v>
      </c>
      <c r="F102" s="186" t="inlineStr">
        <is>
          <t>[SUP]</t>
        </is>
      </c>
      <c r="G102" s="186" t="inlineStr">
        <is>
          <t>Phase2 재분포 ▲</t>
        </is>
      </c>
    </row>
    <row r="103">
      <c r="A103" s="185" t="n">
        <v>102</v>
      </c>
      <c r="B103" s="186" t="inlineStr">
        <is>
          <t>파이프행가</t>
        </is>
      </c>
      <c r="C103" s="186" t="inlineStr">
        <is>
          <t>54C</t>
        </is>
      </c>
      <c r="D103" s="185" t="inlineStr">
        <is>
          <t>EA</t>
        </is>
      </c>
      <c r="E103" s="187" t="n">
        <v>61</v>
      </c>
      <c r="F103" s="186" t="inlineStr">
        <is>
          <t>[SUP]</t>
        </is>
      </c>
      <c r="G103" s="186" t="inlineStr">
        <is>
          <t>Phase2 재분포 ▲</t>
        </is>
      </c>
    </row>
    <row r="104">
      <c r="A104" s="185" t="n">
        <v>103</v>
      </c>
      <c r="B104" s="186" t="inlineStr">
        <is>
          <t>파이프행가</t>
        </is>
      </c>
      <c r="C104" s="186" t="inlineStr">
        <is>
          <t>82C</t>
        </is>
      </c>
      <c r="D104" s="185" t="inlineStr">
        <is>
          <t>EA</t>
        </is>
      </c>
      <c r="E104" s="187" t="n">
        <v>66</v>
      </c>
      <c r="F104" s="186" t="inlineStr">
        <is>
          <t>[SUP]</t>
        </is>
      </c>
      <c r="G104" s="186" t="inlineStr">
        <is>
          <t>Phase2 재분포 ▲</t>
        </is>
      </c>
    </row>
    <row r="105">
      <c r="A105" s="185" t="n">
        <v>104</v>
      </c>
      <c r="B105" s="186" t="inlineStr">
        <is>
          <t>스트롱앵커</t>
        </is>
      </c>
      <c r="C105" s="186" t="inlineStr">
        <is>
          <t>3/8</t>
        </is>
      </c>
      <c r="D105" s="185" t="inlineStr">
        <is>
          <t>EA</t>
        </is>
      </c>
      <c r="E105" s="187" t="n">
        <v>2007</v>
      </c>
      <c r="F105" s="186" t="inlineStr">
        <is>
          <t>[SUP]</t>
        </is>
      </c>
      <c r="G105" s="186" t="inlineStr">
        <is>
          <t>Phase2 재분포 ▲</t>
        </is>
      </c>
    </row>
    <row r="106">
      <c r="A106" s="185" t="n">
        <v>105</v>
      </c>
      <c r="B106" s="186" t="inlineStr">
        <is>
          <t>행거볼트</t>
        </is>
      </c>
      <c r="C106" s="186" t="inlineStr">
        <is>
          <t>M10×1000㎜</t>
        </is>
      </c>
      <c r="D106" s="185" t="inlineStr">
        <is>
          <t>EA</t>
        </is>
      </c>
      <c r="E106" s="187" t="n">
        <v>2007</v>
      </c>
      <c r="F106" s="186" t="inlineStr">
        <is>
          <t>[SUP]</t>
        </is>
      </c>
      <c r="G106" s="186" t="inlineStr">
        <is>
          <t>Phase2 재분포 ▲</t>
        </is>
      </c>
    </row>
    <row r="107">
      <c r="A107" s="185" t="n">
        <v>106</v>
      </c>
      <c r="B107" s="186" t="inlineStr">
        <is>
          <t>6각너트</t>
        </is>
      </c>
      <c r="C107" s="186" t="inlineStr">
        <is>
          <t>3/8,M10</t>
        </is>
      </c>
      <c r="D107" s="185" t="inlineStr">
        <is>
          <t>EA</t>
        </is>
      </c>
      <c r="E107" s="187" t="n">
        <v>4014</v>
      </c>
      <c r="F107" s="186" t="inlineStr">
        <is>
          <t>[SUP]</t>
        </is>
      </c>
      <c r="G107" s="186" t="inlineStr">
        <is>
          <t>Phase2 재분포 ▲</t>
        </is>
      </c>
    </row>
    <row r="108">
      <c r="A108" s="185" t="n">
        <v>107</v>
      </c>
      <c r="B108" s="186" t="inlineStr">
        <is>
          <t>아웃렛박스</t>
        </is>
      </c>
      <c r="C108" s="186" t="inlineStr">
        <is>
          <t>중형4각 54mm</t>
        </is>
      </c>
      <c r="D108" s="185" t="inlineStr">
        <is>
          <t>EA</t>
        </is>
      </c>
      <c r="E108" s="187" t="n">
        <v>512</v>
      </c>
      <c r="F108" s="186" t="inlineStr">
        <is>
          <t>[CMN]</t>
        </is>
      </c>
      <c r="G108" s="186" t="inlineStr">
        <is>
          <t>Phase2 재분포 ▲</t>
        </is>
      </c>
    </row>
    <row r="109">
      <c r="A109" s="185" t="n">
        <v>108</v>
      </c>
      <c r="B109" s="186" t="inlineStr">
        <is>
          <t>스위치박스</t>
        </is>
      </c>
      <c r="C109" s="186" t="inlineStr">
        <is>
          <t>1개용 54mm</t>
        </is>
      </c>
      <c r="D109" s="185" t="inlineStr">
        <is>
          <t>EA</t>
        </is>
      </c>
      <c r="E109" s="187" t="n">
        <v>15</v>
      </c>
      <c r="F109" s="186" t="inlineStr">
        <is>
          <t>[CMN]</t>
        </is>
      </c>
      <c r="G109" s="186" t="inlineStr">
        <is>
          <t>Phase2 재분포 ▲</t>
        </is>
      </c>
    </row>
    <row r="110">
      <c r="A110" s="185" t="n">
        <v>109</v>
      </c>
      <c r="B110" s="186" t="inlineStr">
        <is>
          <t>아웃렛박스 커버</t>
        </is>
      </c>
      <c r="C110" s="186" t="inlineStr">
        <is>
          <t>8각 평형</t>
        </is>
      </c>
      <c r="D110" s="185" t="inlineStr">
        <is>
          <t>EA</t>
        </is>
      </c>
      <c r="E110" s="187" t="n">
        <v>66</v>
      </c>
      <c r="F110" s="186" t="inlineStr">
        <is>
          <t>[CMN]</t>
        </is>
      </c>
      <c r="G110" s="186" t="inlineStr">
        <is>
          <t>Phase2 재분포 ▲</t>
        </is>
      </c>
    </row>
    <row r="111">
      <c r="A111" s="185" t="n">
        <v>110</v>
      </c>
      <c r="B111" s="186" t="inlineStr">
        <is>
          <t>아웃렛박스 커버</t>
        </is>
      </c>
      <c r="C111" s="186" t="inlineStr">
        <is>
          <t>4각 평형</t>
        </is>
      </c>
      <c r="D111" s="185" t="inlineStr">
        <is>
          <t>EA</t>
        </is>
      </c>
      <c r="E111" s="187" t="n">
        <v>444</v>
      </c>
      <c r="F111" s="186" t="inlineStr">
        <is>
          <t>[CMN]</t>
        </is>
      </c>
      <c r="G111" s="186" t="inlineStr">
        <is>
          <t>Phase2 재분포 ▲</t>
        </is>
      </c>
    </row>
    <row r="112">
      <c r="A112" s="185" t="n">
        <v>111</v>
      </c>
      <c r="B112" s="186" t="inlineStr">
        <is>
          <t>정션박스</t>
        </is>
      </c>
      <c r="C112" s="186" t="inlineStr">
        <is>
          <t>100×100×100</t>
        </is>
      </c>
      <c r="D112" s="185" t="inlineStr">
        <is>
          <t>EA</t>
        </is>
      </c>
      <c r="E112" s="187" t="n">
        <v>2</v>
      </c>
      <c r="F112" s="186" t="inlineStr">
        <is>
          <t>[CMN]</t>
        </is>
      </c>
      <c r="G112" s="186" t="inlineStr">
        <is>
          <t>Phase2 재분포 ▲</t>
        </is>
      </c>
    </row>
    <row r="113">
      <c r="A113" s="185" t="n">
        <v>112</v>
      </c>
      <c r="B113" s="186" t="inlineStr">
        <is>
          <t>풀박스</t>
        </is>
      </c>
      <c r="C113" s="186" t="inlineStr">
        <is>
          <t>150×150×100</t>
        </is>
      </c>
      <c r="D113" s="185" t="inlineStr">
        <is>
          <t>EA</t>
        </is>
      </c>
      <c r="E113" s="187" t="n">
        <v>3</v>
      </c>
      <c r="F113" s="186" t="inlineStr">
        <is>
          <t>[CMN]</t>
        </is>
      </c>
      <c r="G113" s="186" t="inlineStr">
        <is>
          <t>Phase2 재분포 ▲</t>
        </is>
      </c>
    </row>
    <row r="114">
      <c r="A114" s="185" t="n">
        <v>113</v>
      </c>
      <c r="B114" s="186" t="inlineStr">
        <is>
          <t>풀박스</t>
        </is>
      </c>
      <c r="C114" s="186" t="inlineStr">
        <is>
          <t>300×300×200</t>
        </is>
      </c>
      <c r="D114" s="185" t="inlineStr">
        <is>
          <t>EA</t>
        </is>
      </c>
      <c r="E114" s="187" t="n">
        <v>2</v>
      </c>
      <c r="F114" s="186" t="inlineStr">
        <is>
          <t>[CMN]</t>
        </is>
      </c>
      <c r="G114" s="186" t="inlineStr">
        <is>
          <t>Phase2 재분포 ▲</t>
        </is>
      </c>
    </row>
    <row r="115">
      <c r="A115" s="185" t="n">
        <v>114</v>
      </c>
      <c r="B115" s="186" t="inlineStr">
        <is>
          <t>와이어콘넥터</t>
        </is>
      </c>
      <c r="C115" s="186" t="inlineStr">
        <is>
          <t>6㎟×2가닥</t>
        </is>
      </c>
      <c r="D115" s="185" t="inlineStr">
        <is>
          <t>EA</t>
        </is>
      </c>
      <c r="E115" s="187" t="n">
        <v>1134</v>
      </c>
      <c r="F115" s="186" t="inlineStr">
        <is>
          <t>[ACC]</t>
        </is>
      </c>
      <c r="G115" s="186" t="inlineStr">
        <is>
          <t>Phase2 재분포 ▲</t>
        </is>
      </c>
    </row>
    <row r="116">
      <c r="A116" s="185" t="n">
        <v>115</v>
      </c>
      <c r="B116" s="186" t="inlineStr">
        <is>
          <t>와이어콘넥터</t>
        </is>
      </c>
      <c r="C116" s="186" t="inlineStr">
        <is>
          <t>10㎟×2가닥</t>
        </is>
      </c>
      <c r="D116" s="185" t="inlineStr">
        <is>
          <t>EA</t>
        </is>
      </c>
      <c r="E116" s="187" t="n">
        <v>128</v>
      </c>
      <c r="F116" s="186" t="inlineStr">
        <is>
          <t>[ACC]</t>
        </is>
      </c>
      <c r="G116" s="186" t="inlineStr">
        <is>
          <t>Phase2 재분포 ▲</t>
        </is>
      </c>
    </row>
    <row r="117">
      <c r="A117" s="185" t="n">
        <v>116</v>
      </c>
      <c r="B117" s="186" t="inlineStr">
        <is>
          <t>러그단자</t>
        </is>
      </c>
      <c r="C117" s="186" t="inlineStr">
        <is>
          <t>10㎟</t>
        </is>
      </c>
      <c r="D117" s="185" t="inlineStr">
        <is>
          <t>EA</t>
        </is>
      </c>
      <c r="E117" s="187" t="n">
        <v>40</v>
      </c>
      <c r="F117" s="186" t="inlineStr">
        <is>
          <t>[ACC]</t>
        </is>
      </c>
      <c r="G117" s="186" t="inlineStr">
        <is>
          <t>Phase2 재분포 ▲</t>
        </is>
      </c>
    </row>
    <row r="118">
      <c r="A118" s="185" t="n">
        <v>117</v>
      </c>
      <c r="B118" s="186" t="inlineStr">
        <is>
          <t>러그단자</t>
        </is>
      </c>
      <c r="C118" s="186" t="inlineStr">
        <is>
          <t>25㎟</t>
        </is>
      </c>
      <c r="D118" s="185" t="inlineStr">
        <is>
          <t>EA</t>
        </is>
      </c>
      <c r="E118" s="187" t="n">
        <v>18</v>
      </c>
      <c r="F118" s="186" t="inlineStr">
        <is>
          <t>[ACC]</t>
        </is>
      </c>
      <c r="G118" s="186" t="inlineStr">
        <is>
          <t>Phase2 재분포 ▲</t>
        </is>
      </c>
    </row>
    <row r="119">
      <c r="A119" s="185" t="n">
        <v>118</v>
      </c>
      <c r="B119" s="186" t="inlineStr">
        <is>
          <t>러그단자</t>
        </is>
      </c>
      <c r="C119" s="186" t="inlineStr">
        <is>
          <t>50㎟</t>
        </is>
      </c>
      <c r="D119" s="185" t="inlineStr">
        <is>
          <t>EA</t>
        </is>
      </c>
      <c r="E119" s="187" t="n">
        <v>2</v>
      </c>
      <c r="F119" s="186" t="inlineStr">
        <is>
          <t>[ACC]</t>
        </is>
      </c>
      <c r="G119" s="186" t="inlineStr">
        <is>
          <t>Phase2 재분포 ▲</t>
        </is>
      </c>
    </row>
    <row r="120">
      <c r="A120" s="185" t="n">
        <v>119</v>
      </c>
      <c r="B120" s="186" t="inlineStr">
        <is>
          <t>러그단자</t>
        </is>
      </c>
      <c r="C120" s="186" t="inlineStr">
        <is>
          <t>95㎟</t>
        </is>
      </c>
      <c r="D120" s="185" t="inlineStr">
        <is>
          <t>EA</t>
        </is>
      </c>
      <c r="E120" s="187" t="n">
        <v>8</v>
      </c>
      <c r="F120" s="186" t="inlineStr">
        <is>
          <t>[ACC]</t>
        </is>
      </c>
      <c r="G120" s="186" t="inlineStr">
        <is>
          <t>Phase2 재분포 ▲</t>
        </is>
      </c>
    </row>
    <row r="121">
      <c r="A121" s="185" t="n">
        <v>120</v>
      </c>
      <c r="B121" s="186" t="inlineStr">
        <is>
          <t>압착단자</t>
        </is>
      </c>
      <c r="C121" s="186" t="inlineStr">
        <is>
          <t>R형 6㎟</t>
        </is>
      </c>
      <c r="D121" s="185" t="inlineStr">
        <is>
          <t>EA</t>
        </is>
      </c>
      <c r="E121" s="187" t="n">
        <v>20</v>
      </c>
      <c r="F121" s="186" t="inlineStr">
        <is>
          <t>[ACC]</t>
        </is>
      </c>
      <c r="G121" s="186" t="inlineStr">
        <is>
          <t>Phase2 재분포 ▲</t>
        </is>
      </c>
    </row>
    <row r="122">
      <c r="A122" s="185" t="n">
        <v>121</v>
      </c>
      <c r="B122" s="186" t="inlineStr">
        <is>
          <t>압착단자</t>
        </is>
      </c>
      <c r="C122" s="186" t="inlineStr">
        <is>
          <t>R형 10㎟</t>
        </is>
      </c>
      <c r="D122" s="185" t="inlineStr">
        <is>
          <t>EA</t>
        </is>
      </c>
      <c r="E122" s="187" t="n">
        <v>40</v>
      </c>
      <c r="F122" s="186" t="inlineStr">
        <is>
          <t>[ACC]</t>
        </is>
      </c>
      <c r="G122" s="186" t="inlineStr">
        <is>
          <t>Phase2 재분포 ▲</t>
        </is>
      </c>
    </row>
    <row r="123">
      <c r="A123" s="185" t="n">
        <v>122</v>
      </c>
      <c r="B123" s="186" t="inlineStr">
        <is>
          <t>터미날캡</t>
        </is>
      </c>
      <c r="C123" s="186" t="inlineStr">
        <is>
          <t>6㎟</t>
        </is>
      </c>
      <c r="D123" s="185" t="inlineStr">
        <is>
          <t>EA</t>
        </is>
      </c>
      <c r="E123" s="187" t="n">
        <v>20</v>
      </c>
      <c r="F123" s="186" t="inlineStr">
        <is>
          <t>[ACC]</t>
        </is>
      </c>
      <c r="G123" s="186" t="inlineStr">
        <is>
          <t>Phase2 재분포 ▲</t>
        </is>
      </c>
    </row>
    <row r="124">
      <c r="A124" s="185" t="n">
        <v>123</v>
      </c>
      <c r="B124" s="186" t="inlineStr">
        <is>
          <t>터미날캡</t>
        </is>
      </c>
      <c r="C124" s="186" t="inlineStr">
        <is>
          <t>10㎟</t>
        </is>
      </c>
      <c r="D124" s="185" t="inlineStr">
        <is>
          <t>EA</t>
        </is>
      </c>
      <c r="E124" s="187" t="n">
        <v>50</v>
      </c>
      <c r="F124" s="186" t="inlineStr">
        <is>
          <t>[ACC]</t>
        </is>
      </c>
      <c r="G124" s="186" t="inlineStr">
        <is>
          <t>Phase2 재분포 ▲</t>
        </is>
      </c>
    </row>
    <row r="125">
      <c r="A125" s="185" t="n">
        <v>124</v>
      </c>
      <c r="B125" s="186" t="inlineStr">
        <is>
          <t>터미날캡</t>
        </is>
      </c>
      <c r="C125" s="186" t="inlineStr">
        <is>
          <t>25㎟</t>
        </is>
      </c>
      <c r="D125" s="185" t="inlineStr">
        <is>
          <t>EA</t>
        </is>
      </c>
      <c r="E125" s="187" t="n">
        <v>10</v>
      </c>
      <c r="F125" s="186" t="inlineStr">
        <is>
          <t>[ACC]</t>
        </is>
      </c>
      <c r="G125" s="186" t="inlineStr">
        <is>
          <t>Phase2 재분포 ▲</t>
        </is>
      </c>
    </row>
    <row r="126">
      <c r="A126" s="185" t="n">
        <v>125</v>
      </c>
      <c r="B126" s="186" t="inlineStr">
        <is>
          <t>터미날캡</t>
        </is>
      </c>
      <c r="C126" s="186" t="inlineStr">
        <is>
          <t>50㎟</t>
        </is>
      </c>
      <c r="D126" s="185" t="inlineStr">
        <is>
          <t>EA</t>
        </is>
      </c>
      <c r="E126" s="187" t="n">
        <v>2</v>
      </c>
      <c r="F126" s="186" t="inlineStr">
        <is>
          <t>[ACC]</t>
        </is>
      </c>
      <c r="G126" s="186" t="inlineStr">
        <is>
          <t>Phase2 재분포 ▲</t>
        </is>
      </c>
    </row>
    <row r="127">
      <c r="A127" s="185" t="n">
        <v>126</v>
      </c>
      <c r="B127" s="186" t="inlineStr">
        <is>
          <t>터미날캡</t>
        </is>
      </c>
      <c r="C127" s="186" t="inlineStr">
        <is>
          <t>95㎟</t>
        </is>
      </c>
      <c r="D127" s="185" t="inlineStr">
        <is>
          <t>EA</t>
        </is>
      </c>
      <c r="E127" s="187" t="n">
        <v>8</v>
      </c>
      <c r="F127" s="186" t="inlineStr">
        <is>
          <t>[ACC]</t>
        </is>
      </c>
      <c r="G127" s="186" t="inlineStr">
        <is>
          <t>Phase2 재분포 ▲</t>
        </is>
      </c>
    </row>
    <row r="128">
      <c r="A128" s="185" t="n">
        <v>127</v>
      </c>
      <c r="B128" s="186" t="inlineStr">
        <is>
          <t>노말밴드</t>
        </is>
      </c>
      <c r="C128" s="186" t="inlineStr">
        <is>
          <t>28mm</t>
        </is>
      </c>
      <c r="D128" s="185" t="inlineStr">
        <is>
          <t>EA</t>
        </is>
      </c>
      <c r="E128" s="187" t="n">
        <v>6</v>
      </c>
      <c r="F128" s="186" t="inlineStr">
        <is>
          <t>[ACC]</t>
        </is>
      </c>
      <c r="G128" s="186" t="inlineStr">
        <is>
          <t>Phase2 재분포 ▲</t>
        </is>
      </c>
    </row>
    <row r="129">
      <c r="A129" s="185" t="n">
        <v>128</v>
      </c>
      <c r="B129" s="186" t="inlineStr">
        <is>
          <t>노말밴드</t>
        </is>
      </c>
      <c r="C129" s="186" t="inlineStr">
        <is>
          <t>36mm</t>
        </is>
      </c>
      <c r="D129" s="185" t="inlineStr">
        <is>
          <t>EA</t>
        </is>
      </c>
      <c r="E129" s="187" t="n">
        <v>10</v>
      </c>
      <c r="F129" s="186" t="inlineStr">
        <is>
          <t>[ACC]</t>
        </is>
      </c>
      <c r="G129" s="186" t="inlineStr">
        <is>
          <t>Phase2 재분포 ▲</t>
        </is>
      </c>
    </row>
    <row r="130">
      <c r="A130" s="185" t="n">
        <v>129</v>
      </c>
      <c r="B130" s="186" t="inlineStr">
        <is>
          <t>노말밴드</t>
        </is>
      </c>
      <c r="C130" s="186" t="inlineStr">
        <is>
          <t>54mm</t>
        </is>
      </c>
      <c r="D130" s="185" t="inlineStr">
        <is>
          <t>EA</t>
        </is>
      </c>
      <c r="E130" s="187" t="n">
        <v>4</v>
      </c>
      <c r="F130" s="186" t="inlineStr">
        <is>
          <t>[ACC]</t>
        </is>
      </c>
      <c r="G130" s="186" t="inlineStr">
        <is>
          <t>Phase2 재분포 ▲</t>
        </is>
      </c>
    </row>
    <row r="131">
      <c r="A131" s="185" t="n">
        <v>130</v>
      </c>
      <c r="B131" s="186" t="inlineStr">
        <is>
          <t>노말밴드</t>
        </is>
      </c>
      <c r="C131" s="186" t="inlineStr">
        <is>
          <t>82mm</t>
        </is>
      </c>
      <c r="D131" s="185" t="inlineStr">
        <is>
          <t>EA</t>
        </is>
      </c>
      <c r="E131" s="187" t="n">
        <v>4</v>
      </c>
      <c r="F131" s="186" t="inlineStr">
        <is>
          <t>[ACC]</t>
        </is>
      </c>
      <c r="G131" s="186" t="inlineStr">
        <is>
          <t>Phase2 재분포 ▲</t>
        </is>
      </c>
    </row>
    <row r="132">
      <c r="A132" s="185" t="n">
        <v>131</v>
      </c>
      <c r="B132" s="186" t="inlineStr">
        <is>
          <t>LED 등기구 L-03</t>
        </is>
      </c>
      <c r="C132" s="186" t="inlineStr">
        <is>
          <t>30W 615×615×85</t>
        </is>
      </c>
      <c r="D132" s="185" t="inlineStr">
        <is>
          <t>EA</t>
        </is>
      </c>
      <c r="E132" s="187" t="n">
        <v>89</v>
      </c>
      <c r="F132" s="186" t="inlineStr">
        <is>
          <t>[EQP]</t>
        </is>
      </c>
      <c r="G132" s="186" t="inlineStr">
        <is>
          <t>Phase2 신설 ▲</t>
        </is>
      </c>
    </row>
    <row r="133">
      <c r="A133" s="185" t="n">
        <v>132</v>
      </c>
      <c r="B133" s="186" t="inlineStr">
        <is>
          <t>LED 등기구 L-02</t>
        </is>
      </c>
      <c r="C133" s="186" t="inlineStr">
        <is>
          <t>64W 1280×320×85</t>
        </is>
      </c>
      <c r="D133" s="185" t="inlineStr">
        <is>
          <t>EA</t>
        </is>
      </c>
      <c r="E133" s="187" t="n">
        <v>20</v>
      </c>
      <c r="F133" s="186" t="inlineStr">
        <is>
          <t>[EQP]</t>
        </is>
      </c>
      <c r="G133" s="186" t="inlineStr">
        <is>
          <t>Phase2 신설 ▲</t>
        </is>
      </c>
    </row>
    <row r="134">
      <c r="A134" s="185" t="n">
        <v>133</v>
      </c>
      <c r="B134" s="186" t="inlineStr">
        <is>
          <t>LED 다운라이트 L-06</t>
        </is>
      </c>
      <c r="C134" s="186" t="inlineStr">
        <is>
          <t>6W 4인치</t>
        </is>
      </c>
      <c r="D134" s="185" t="inlineStr">
        <is>
          <t>EA</t>
        </is>
      </c>
      <c r="E134" s="187" t="n">
        <v>13</v>
      </c>
      <c r="F134" s="186" t="inlineStr">
        <is>
          <t>[EQP]</t>
        </is>
      </c>
      <c r="G134" s="186" t="inlineStr">
        <is>
          <t>Phase2 신설 ▲</t>
        </is>
      </c>
    </row>
    <row r="135">
      <c r="A135" s="185" t="n">
        <v>134</v>
      </c>
      <c r="B135" s="186" t="inlineStr">
        <is>
          <t>LED 비상등 다운라이트</t>
        </is>
      </c>
      <c r="C135" s="186" t="inlineStr">
        <is>
          <t>밧테리 내장(정전시 점등)</t>
        </is>
      </c>
      <c r="D135" s="185" t="inlineStr">
        <is>
          <t>EA</t>
        </is>
      </c>
      <c r="E135" s="187" t="n">
        <v>11</v>
      </c>
      <c r="F135" s="186" t="inlineStr">
        <is>
          <t>[EQP]</t>
        </is>
      </c>
      <c r="G135" s="186" t="inlineStr">
        <is>
          <t>Phase2 신설 ▲</t>
        </is>
      </c>
    </row>
    <row r="136">
      <c r="A136" s="185" t="n">
        <v>135</v>
      </c>
      <c r="B136" s="186" t="inlineStr">
        <is>
          <t>갓등 L-01.02</t>
        </is>
      </c>
      <c r="C136" s="186" t="inlineStr">
        <is>
          <t>상업용 갓등</t>
        </is>
      </c>
      <c r="D136" s="185" t="inlineStr">
        <is>
          <t>EA</t>
        </is>
      </c>
      <c r="E136" s="187" t="n">
        <v>74</v>
      </c>
      <c r="F136" s="186" t="inlineStr">
        <is>
          <t>[EQP]</t>
        </is>
      </c>
      <c r="G136" s="186" t="inlineStr">
        <is>
          <t>Phase2 신설 ▲</t>
        </is>
      </c>
    </row>
    <row r="137">
      <c r="A137" s="185" t="n">
        <v>136</v>
      </c>
      <c r="B137" s="186" t="inlineStr">
        <is>
          <t>매입스위치</t>
        </is>
      </c>
      <c r="C137" s="186" t="inlineStr">
        <is>
          <t>250V 1로1구</t>
        </is>
      </c>
      <c r="D137" s="185" t="inlineStr">
        <is>
          <t>EA</t>
        </is>
      </c>
      <c r="E137" s="187" t="n">
        <v>8</v>
      </c>
      <c r="F137" s="186" t="inlineStr">
        <is>
          <t>[EQP]</t>
        </is>
      </c>
      <c r="G137" s="186" t="inlineStr">
        <is>
          <t>Phase2 신설 ▲</t>
        </is>
      </c>
    </row>
    <row r="138">
      <c r="A138" s="185" t="n">
        <v>137</v>
      </c>
      <c r="B138" s="186" t="inlineStr">
        <is>
          <t>매입스위치</t>
        </is>
      </c>
      <c r="C138" s="186" t="inlineStr">
        <is>
          <t>250V 1로3구</t>
        </is>
      </c>
      <c r="D138" s="185" t="inlineStr">
        <is>
          <t>EA</t>
        </is>
      </c>
      <c r="E138" s="187" t="n">
        <v>3</v>
      </c>
      <c r="F138" s="186" t="inlineStr">
        <is>
          <t>[EQP]</t>
        </is>
      </c>
      <c r="G138" s="186" t="inlineStr">
        <is>
          <t>Phase2 신설 ▲</t>
        </is>
      </c>
    </row>
    <row r="139">
      <c r="A139" s="185" t="n">
        <v>138</v>
      </c>
      <c r="B139" s="186" t="inlineStr">
        <is>
          <t>콘센트</t>
        </is>
      </c>
      <c r="C139" s="186" t="inlineStr">
        <is>
          <t>250V 1구 매입접지</t>
        </is>
      </c>
      <c r="D139" s="185" t="inlineStr">
        <is>
          <t>EA</t>
        </is>
      </c>
      <c r="E139" s="187" t="n">
        <v>9</v>
      </c>
      <c r="F139" s="186" t="inlineStr">
        <is>
          <t>[EQP]</t>
        </is>
      </c>
      <c r="G139" s="186" t="inlineStr">
        <is>
          <t>Phase2 신설 ▲</t>
        </is>
      </c>
    </row>
    <row r="140">
      <c r="A140" s="185" t="n">
        <v>139</v>
      </c>
      <c r="B140" s="186" t="inlineStr">
        <is>
          <t>콘센트</t>
        </is>
      </c>
      <c r="C140" s="186" t="inlineStr">
        <is>
          <t>250V 2구 매입접지</t>
        </is>
      </c>
      <c r="D140" s="185" t="inlineStr">
        <is>
          <t>EA</t>
        </is>
      </c>
      <c r="E140" s="187" t="n">
        <v>31</v>
      </c>
      <c r="F140" s="186" t="inlineStr">
        <is>
          <t>[EQP]</t>
        </is>
      </c>
      <c r="G140" s="186" t="inlineStr">
        <is>
          <t>Phase2 신설 ▲</t>
        </is>
      </c>
    </row>
    <row r="141">
      <c r="A141" s="185" t="n">
        <v>140</v>
      </c>
      <c r="B141" s="186" t="inlineStr">
        <is>
          <t>곤도라 콘센트</t>
        </is>
      </c>
      <c r="C141" s="186" t="inlineStr">
        <is>
          <t>3상4선 주물방수</t>
        </is>
      </c>
      <c r="D141" s="185" t="inlineStr">
        <is>
          <t>SET</t>
        </is>
      </c>
      <c r="E141" s="187" t="n">
        <v>11</v>
      </c>
      <c r="F141" s="186" t="inlineStr">
        <is>
          <t>[EQP]</t>
        </is>
      </c>
      <c r="G141" s="186" t="inlineStr">
        <is>
          <t>Phase2 신설 ▲</t>
        </is>
      </c>
    </row>
    <row r="142">
      <c r="A142" s="185" t="n">
        <v>141</v>
      </c>
      <c r="B142" s="186" t="inlineStr">
        <is>
          <t>방우콘센트</t>
        </is>
      </c>
      <c r="C142" s="186" t="inlineStr">
        <is>
          <t>250V 2구 매입접지</t>
        </is>
      </c>
      <c r="D142" s="185" t="inlineStr">
        <is>
          <t>EA</t>
        </is>
      </c>
      <c r="E142" s="187" t="n">
        <v>19</v>
      </c>
      <c r="F142" s="186" t="inlineStr">
        <is>
          <t>[EQP]</t>
        </is>
      </c>
      <c r="G142" s="186" t="inlineStr">
        <is>
          <t>Phase2 신설 ▲</t>
        </is>
      </c>
    </row>
    <row r="143">
      <c r="A143" s="185" t="n">
        <v>142</v>
      </c>
      <c r="B143" s="186" t="inlineStr">
        <is>
          <t>화재감지기</t>
        </is>
      </c>
      <c r="C143" s="186" t="inlineStr">
        <is>
          <t>차동식스포트형</t>
        </is>
      </c>
      <c r="D143" s="185" t="inlineStr">
        <is>
          <t>EA</t>
        </is>
      </c>
      <c r="E143" s="187" t="n">
        <v>4</v>
      </c>
      <c r="F143" s="186" t="inlineStr">
        <is>
          <t>[EQP]</t>
        </is>
      </c>
      <c r="G143" s="186" t="inlineStr">
        <is>
          <t>Phase2 신설 ▲</t>
        </is>
      </c>
    </row>
    <row r="144">
      <c r="A144" s="185" t="n">
        <v>143</v>
      </c>
      <c r="B144" s="186" t="inlineStr">
        <is>
          <t>화재감지기</t>
        </is>
      </c>
      <c r="C144" s="186" t="inlineStr">
        <is>
          <t>정온식스포트형</t>
        </is>
      </c>
      <c r="D144" s="185" t="inlineStr">
        <is>
          <t>EA</t>
        </is>
      </c>
      <c r="E144" s="187" t="n">
        <v>14</v>
      </c>
      <c r="F144" s="186" t="inlineStr">
        <is>
          <t>[EQP]</t>
        </is>
      </c>
      <c r="G144" s="186" t="inlineStr">
        <is>
          <t>Phase2 신설 ▲</t>
        </is>
      </c>
    </row>
    <row r="145">
      <c r="A145" s="185" t="n">
        <v>144</v>
      </c>
      <c r="B145" s="186" t="inlineStr">
        <is>
          <t>고휘도 유도등</t>
        </is>
      </c>
      <c r="C145" s="186" t="inlineStr">
        <is>
          <t>대형 60분용 단면</t>
        </is>
      </c>
      <c r="D145" s="185" t="inlineStr">
        <is>
          <t>EA</t>
        </is>
      </c>
      <c r="E145" s="187" t="n">
        <v>21</v>
      </c>
      <c r="F145" s="186" t="inlineStr">
        <is>
          <t>[EQP]</t>
        </is>
      </c>
      <c r="G145" s="186" t="inlineStr">
        <is>
          <t>Phase2 신설 ▲</t>
        </is>
      </c>
    </row>
    <row r="146">
      <c r="A146" s="185" t="n">
        <v>145</v>
      </c>
      <c r="B146" s="186" t="inlineStr">
        <is>
          <t>시각경보기 전원반</t>
        </is>
      </c>
      <c r="C146" s="186" t="inlineStr">
        <is>
          <t>15A</t>
        </is>
      </c>
      <c r="D146" s="185" t="inlineStr">
        <is>
          <t>EA</t>
        </is>
      </c>
      <c r="E146" s="187" t="n">
        <v>1</v>
      </c>
      <c r="F146" s="186" t="inlineStr">
        <is>
          <t>[EQP]</t>
        </is>
      </c>
      <c r="G146" s="186" t="inlineStr">
        <is>
          <t>Phase2 신설 ▲</t>
        </is>
      </c>
    </row>
    <row r="147">
      <c r="A147" s="185" t="n">
        <v>146</v>
      </c>
      <c r="B147" s="186" t="inlineStr">
        <is>
          <t>음량조절기</t>
        </is>
      </c>
      <c r="C147" s="186" t="inlineStr">
        <is>
          <t>ATT 3단</t>
        </is>
      </c>
      <c r="D147" s="185" t="inlineStr">
        <is>
          <t>EA</t>
        </is>
      </c>
      <c r="E147" s="187" t="n">
        <v>7</v>
      </c>
      <c r="F147" s="186" t="inlineStr">
        <is>
          <t>[EQP]</t>
        </is>
      </c>
      <c r="G147" s="186" t="inlineStr">
        <is>
          <t>Phase2 신설 ▲</t>
        </is>
      </c>
    </row>
    <row r="148">
      <c r="A148" s="185" t="n">
        <v>147</v>
      </c>
      <c r="B148" s="186" t="inlineStr">
        <is>
          <t>모듈라잭</t>
        </is>
      </c>
      <c r="C148" s="186" t="inlineStr">
        <is>
          <t>Cat.6 2구 매입</t>
        </is>
      </c>
      <c r="D148" s="185" t="inlineStr">
        <is>
          <t>EA</t>
        </is>
      </c>
      <c r="E148" s="187" t="n">
        <v>12</v>
      </c>
      <c r="F148" s="186" t="inlineStr">
        <is>
          <t>[EQP]</t>
        </is>
      </c>
      <c r="G148" s="186" t="inlineStr">
        <is>
          <t>Phase2 신설 ▲</t>
        </is>
      </c>
    </row>
    <row r="149">
      <c r="A149" s="185" t="n">
        <v>148</v>
      </c>
      <c r="B149" s="186" t="inlineStr">
        <is>
          <t>UTP 케이블</t>
        </is>
      </c>
      <c r="C149" s="186" t="inlineStr">
        <is>
          <t>Cat.6 0.5mm 4P</t>
        </is>
      </c>
      <c r="D149" s="185" t="inlineStr">
        <is>
          <t>m</t>
        </is>
      </c>
      <c r="E149" s="187" t="n">
        <v>657</v>
      </c>
      <c r="F149" s="186" t="inlineStr">
        <is>
          <t>[MAT]</t>
        </is>
      </c>
      <c r="G149" s="186" t="inlineStr">
        <is>
          <t>Phase2 신설 ▲</t>
        </is>
      </c>
    </row>
    <row r="150">
      <c r="A150" s="185" t="n">
        <v>149</v>
      </c>
      <c r="B150" s="186" t="inlineStr">
        <is>
          <t>메인분전반</t>
        </is>
      </c>
      <c r="C150" s="186" t="inlineStr">
        <is>
          <t>LP-M SUS</t>
        </is>
      </c>
      <c r="D150" s="185" t="inlineStr">
        <is>
          <t>EA</t>
        </is>
      </c>
      <c r="E150" s="187" t="n">
        <v>1</v>
      </c>
      <c r="F150" s="186" t="inlineStr">
        <is>
          <t>[EQP]</t>
        </is>
      </c>
      <c r="G150" s="186" t="inlineStr">
        <is>
          <t>Phase2 신설 ▲</t>
        </is>
      </c>
    </row>
    <row r="151">
      <c r="A151" s="185" t="n">
        <v>150</v>
      </c>
      <c r="B151" s="186" t="inlineStr">
        <is>
          <t>분전반</t>
        </is>
      </c>
      <c r="C151" s="186" t="inlineStr">
        <is>
          <t>LP-2M SUS</t>
        </is>
      </c>
      <c r="D151" s="185" t="inlineStr">
        <is>
          <t>EA</t>
        </is>
      </c>
      <c r="E151" s="187" t="n">
        <v>1</v>
      </c>
      <c r="F151" s="186" t="inlineStr">
        <is>
          <t>[EQP]</t>
        </is>
      </c>
      <c r="G151" s="186" t="inlineStr">
        <is>
          <t>Phase2 신설 ▲</t>
        </is>
      </c>
    </row>
    <row r="152">
      <c r="A152" s="185" t="n">
        <v>151</v>
      </c>
      <c r="B152" s="186" t="inlineStr">
        <is>
          <t>분전반</t>
        </is>
      </c>
      <c r="C152" s="186" t="inlineStr">
        <is>
          <t>LP-E SUS</t>
        </is>
      </c>
      <c r="D152" s="185" t="inlineStr">
        <is>
          <t>EA</t>
        </is>
      </c>
      <c r="E152" s="187" t="n">
        <v>1</v>
      </c>
      <c r="F152" s="186" t="inlineStr">
        <is>
          <t>[EQP]</t>
        </is>
      </c>
      <c r="G152" s="186" t="inlineStr">
        <is>
          <t>Phase2 신설 ▲</t>
        </is>
      </c>
    </row>
    <row r="153">
      <c r="A153" s="185" t="n">
        <v>152</v>
      </c>
      <c r="B153" s="186" t="inlineStr">
        <is>
          <t>배선용차단기</t>
        </is>
      </c>
      <c r="C153" s="186" t="inlineStr">
        <is>
          <t>ABS-103 3P 100AF/100AT</t>
        </is>
      </c>
      <c r="D153" s="185" t="inlineStr">
        <is>
          <t>EA</t>
        </is>
      </c>
      <c r="E153" s="187" t="n">
        <v>1</v>
      </c>
      <c r="F153" s="186" t="inlineStr">
        <is>
          <t>[EQP]</t>
        </is>
      </c>
      <c r="G153" s="186" t="inlineStr">
        <is>
          <t>Phase2 신설 ▲</t>
        </is>
      </c>
    </row>
    <row r="154">
      <c r="A154" s="185" t="n">
        <v>153</v>
      </c>
      <c r="B154" s="186" t="inlineStr">
        <is>
          <t>배선용차단기</t>
        </is>
      </c>
      <c r="C154" s="186" t="inlineStr">
        <is>
          <t>ABS-202 2P 250AF/225AT</t>
        </is>
      </c>
      <c r="D154" s="185" t="inlineStr">
        <is>
          <t>EA</t>
        </is>
      </c>
      <c r="E154" s="187" t="n">
        <v>1</v>
      </c>
      <c r="F154" s="186" t="inlineStr">
        <is>
          <t>[EQP]</t>
        </is>
      </c>
      <c r="G154" s="186" t="inlineStr">
        <is>
          <t>Phase2 신설 ▲</t>
        </is>
      </c>
    </row>
    <row r="155">
      <c r="A155" s="185" t="n">
        <v>154</v>
      </c>
      <c r="B155" s="186" t="inlineStr">
        <is>
          <t>버스버 가공</t>
        </is>
      </c>
      <c r="C155" s="186" t="inlineStr">
        <is>
          <t>간선 분배</t>
        </is>
      </c>
      <c r="D155" s="185" t="inlineStr">
        <is>
          <t>EA</t>
        </is>
      </c>
      <c r="E155" s="187" t="n">
        <v>1</v>
      </c>
      <c r="F155" s="186" t="inlineStr">
        <is>
          <t>[EQP]</t>
        </is>
      </c>
      <c r="G155" s="186" t="inlineStr">
        <is>
          <t>Phase2 신설 ▲</t>
        </is>
      </c>
    </row>
    <row r="156">
      <c r="A156" s="185" t="n">
        <v>155</v>
      </c>
      <c r="B156" s="186" t="inlineStr">
        <is>
          <t>방화폼</t>
        </is>
      </c>
      <c r="C156" s="186" t="inlineStr">
        <is>
          <t>관통부 충전</t>
        </is>
      </c>
      <c r="D156" s="185" t="inlineStr">
        <is>
          <t>EA</t>
        </is>
      </c>
      <c r="E156" s="187" t="n">
        <v>8</v>
      </c>
      <c r="F156" s="186" t="inlineStr">
        <is>
          <t>[EQP]</t>
        </is>
      </c>
      <c r="G156" s="186" t="inlineStr">
        <is>
          <t>Phase2 신설 ▲</t>
        </is>
      </c>
    </row>
    <row r="157">
      <c r="A157" s="185" t="n">
        <v>156</v>
      </c>
      <c r="B157" s="186" t="inlineStr">
        <is>
          <t>임시전원 분전반</t>
        </is>
      </c>
      <c r="C157" s="186" t="inlineStr">
        <is>
          <t>호딩전원용</t>
        </is>
      </c>
      <c r="D157" s="185" t="inlineStr">
        <is>
          <t>EA</t>
        </is>
      </c>
      <c r="E157" s="187" t="n">
        <v>2</v>
      </c>
      <c r="F157" s="186" t="inlineStr">
        <is>
          <t>[EQP]</t>
        </is>
      </c>
      <c r="G157" s="186" t="inlineStr">
        <is>
          <t>Phase2 신설 ▲</t>
        </is>
      </c>
    </row>
    <row r="158">
      <c r="A158" s="185" t="n">
        <v>157</v>
      </c>
      <c r="B158" s="186" t="inlineStr">
        <is>
          <t>오징서 작업등</t>
        </is>
      </c>
      <c r="C158" s="186" t="inlineStr">
        <is>
          <t>20M 연장</t>
        </is>
      </c>
      <c r="D158" s="185" t="inlineStr">
        <is>
          <t>EA</t>
        </is>
      </c>
      <c r="E158" s="187" t="n">
        <v>4</v>
      </c>
      <c r="F158" s="186" t="inlineStr">
        <is>
          <t>[EQP]</t>
        </is>
      </c>
      <c r="G158" s="186" t="inlineStr">
        <is>
          <t>Phase2 신설 ▲</t>
        </is>
      </c>
    </row>
    <row r="159">
      <c r="A159" s="185" t="n">
        <v>158</v>
      </c>
      <c r="B159" s="186" t="inlineStr">
        <is>
          <t>통신랙</t>
        </is>
      </c>
      <c r="C159" s="186" t="inlineStr">
        <is>
          <t>IT RACK</t>
        </is>
      </c>
      <c r="D159" s="185" t="inlineStr">
        <is>
          <t>EA</t>
        </is>
      </c>
      <c r="E159" s="187" t="n">
        <v>1</v>
      </c>
      <c r="F159" s="186" t="inlineStr">
        <is>
          <t>[EQP]</t>
        </is>
      </c>
      <c r="G159" s="186" t="inlineStr">
        <is>
          <t>Phase2 신설 ▲</t>
        </is>
      </c>
    </row>
    <row r="160">
      <c r="A160" s="185" t="n">
        <v>159</v>
      </c>
      <c r="B160" s="186" t="inlineStr">
        <is>
          <t>호딩전원 연결</t>
        </is>
      </c>
      <c r="C160" s="186" t="inlineStr">
        <is>
          <t>임시간선 접속</t>
        </is>
      </c>
      <c r="D160" s="185" t="inlineStr">
        <is>
          <t>EA</t>
        </is>
      </c>
      <c r="E160" s="187" t="n">
        <v>1</v>
      </c>
      <c r="F160" s="186" t="inlineStr">
        <is>
          <t>[EQP]</t>
        </is>
      </c>
      <c r="G160" s="186" t="inlineStr">
        <is>
          <t>Phase2 신설 ▲</t>
        </is>
      </c>
    </row>
    <row r="161">
      <c r="A161" s="185" t="n">
        <v>160</v>
      </c>
      <c r="B161" s="186" t="inlineStr">
        <is>
          <t>멀티덕트 BODY</t>
        </is>
      </c>
      <c r="C161" s="186" t="inlineStr">
        <is>
          <t>AL W150×H70</t>
        </is>
      </c>
      <c r="D161" s="185" t="inlineStr">
        <is>
          <t>m</t>
        </is>
      </c>
      <c r="E161" s="187" t="n">
        <v>11</v>
      </c>
      <c r="F161" s="186" t="inlineStr">
        <is>
          <t>[EQP]</t>
        </is>
      </c>
      <c r="G161" s="186" t="inlineStr">
        <is>
          <t>Phase2 신설 ▲</t>
        </is>
      </c>
    </row>
    <row r="162">
      <c r="A162" s="185" t="n">
        <v>161</v>
      </c>
      <c r="B162" s="186" t="inlineStr">
        <is>
          <t>멀티덕트 COVER</t>
        </is>
      </c>
      <c r="C162" s="186" t="inlineStr">
        <is>
          <t>AL W150×H70</t>
        </is>
      </c>
      <c r="D162" s="185" t="inlineStr">
        <is>
          <t>m</t>
        </is>
      </c>
      <c r="E162" s="187" t="n">
        <v>6</v>
      </c>
      <c r="F162" s="186" t="inlineStr">
        <is>
          <t>[EQP]</t>
        </is>
      </c>
      <c r="G162" s="186" t="inlineStr">
        <is>
          <t>Phase2 신설 ▲</t>
        </is>
      </c>
    </row>
    <row r="163">
      <c r="A163" s="185" t="n">
        <v>162</v>
      </c>
      <c r="B163" s="186" t="inlineStr">
        <is>
          <t>노무비 내선전공</t>
        </is>
      </c>
      <c r="C163" s="186" t="inlineStr">
        <is>
          <t>인</t>
        </is>
      </c>
      <c r="D163" s="185" t="inlineStr">
        <is>
          <t>인</t>
        </is>
      </c>
      <c r="E163" s="187" t="n">
        <v>264.106</v>
      </c>
      <c r="F163" s="186" t="inlineStr">
        <is>
          <t>[LAB]</t>
        </is>
      </c>
      <c r="G163" s="186" t="inlineStr">
        <is>
          <t>Phase2 신설 ▲</t>
        </is>
      </c>
    </row>
    <row r="164">
      <c r="A164" s="185" t="n">
        <v>163</v>
      </c>
      <c r="B164" s="186" t="inlineStr">
        <is>
          <t>노무비 저압케이블전공</t>
        </is>
      </c>
      <c r="C164" s="186" t="inlineStr">
        <is>
          <t>인</t>
        </is>
      </c>
      <c r="D164" s="185" t="inlineStr">
        <is>
          <t>인</t>
        </is>
      </c>
      <c r="E164" s="187" t="n">
        <v>15.015</v>
      </c>
      <c r="F164" s="186" t="inlineStr">
        <is>
          <t>[LAB]</t>
        </is>
      </c>
      <c r="G164" s="186" t="inlineStr">
        <is>
          <t>Phase2 신설 ▲</t>
        </is>
      </c>
    </row>
    <row r="165">
      <c r="A165" s="185" t="n">
        <v>164</v>
      </c>
      <c r="B165" s="186" t="inlineStr">
        <is>
          <t>노무비 통신내선공</t>
        </is>
      </c>
      <c r="C165" s="186" t="inlineStr">
        <is>
          <t>인</t>
        </is>
      </c>
      <c r="D165" s="185" t="inlineStr">
        <is>
          <t>인</t>
        </is>
      </c>
      <c r="E165" s="187" t="n">
        <v>0.101</v>
      </c>
      <c r="F165" s="186" t="inlineStr">
        <is>
          <t>[LAB]</t>
        </is>
      </c>
      <c r="G165" s="186" t="inlineStr">
        <is>
          <t>Phase2 신설 ▲</t>
        </is>
      </c>
    </row>
    <row r="166">
      <c r="A166" s="185" t="n">
        <v>165</v>
      </c>
      <c r="B166" s="186" t="inlineStr">
        <is>
          <t>노무비 통신케이블공</t>
        </is>
      </c>
      <c r="C166" s="186" t="inlineStr">
        <is>
          <t>인</t>
        </is>
      </c>
      <c r="D166" s="185" t="inlineStr">
        <is>
          <t>인</t>
        </is>
      </c>
      <c r="E166" s="187" t="n">
        <v>2.291</v>
      </c>
      <c r="F166" s="186" t="inlineStr">
        <is>
          <t>[LAB]</t>
        </is>
      </c>
      <c r="G166" s="186" t="inlineStr">
        <is>
          <t>Phase2 신설 ▲</t>
        </is>
      </c>
    </row>
    <row r="167">
      <c r="A167" s="185" t="n">
        <v>166</v>
      </c>
      <c r="B167" s="186" t="inlineStr">
        <is>
          <t>노무비 통신설비공</t>
        </is>
      </c>
      <c r="C167" s="186" t="inlineStr">
        <is>
          <t>인</t>
        </is>
      </c>
      <c r="D167" s="185" t="inlineStr">
        <is>
          <t>인</t>
        </is>
      </c>
      <c r="E167" s="187" t="n">
        <v>1</v>
      </c>
      <c r="F167" s="186" t="inlineStr">
        <is>
          <t>[LAB]</t>
        </is>
      </c>
      <c r="G167" s="186" t="inlineStr">
        <is>
          <t>Phase2 신설 ▲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style="78" min="1" max="1"/>
  </cols>
  <sheetData>
    <row r="1">
      <c r="A1" s="172" t="inlineStr">
        <is>
          <t>규모별 계수</t>
        </is>
      </c>
      <c r="B1" s="172" t="inlineStr"/>
      <c r="C1" s="172" t="inlineStr"/>
    </row>
    <row r="2">
      <c r="A2" s="155" t="inlineStr">
        <is>
          <t>구분</t>
        </is>
      </c>
      <c r="B2" s="155" t="inlineStr">
        <is>
          <t>면적기준</t>
        </is>
      </c>
      <c r="C2" s="155" t="inlineStr">
        <is>
          <t>계수</t>
        </is>
      </c>
    </row>
    <row r="3">
      <c r="A3" s="148" t="inlineStr">
        <is>
          <t>소규모</t>
        </is>
      </c>
      <c r="B3" s="148" t="inlineStr">
        <is>
          <t>&lt; 100㎡</t>
        </is>
      </c>
      <c r="C3" s="148" t="inlineStr">
        <is>
          <t>1.00</t>
        </is>
      </c>
    </row>
    <row r="4">
      <c r="A4" s="167" t="inlineStr">
        <is>
          <t>중규모 ★</t>
        </is>
      </c>
      <c r="B4" s="167" t="inlineStr">
        <is>
          <t>100~300㎡</t>
        </is>
      </c>
      <c r="C4" s="167" t="inlineStr">
        <is>
          <t>1.15</t>
        </is>
      </c>
    </row>
    <row r="5">
      <c r="A5" s="148" t="inlineStr">
        <is>
          <t>대규모</t>
        </is>
      </c>
      <c r="B5" s="148" t="inlineStr">
        <is>
          <t>&gt; 300㎡</t>
        </is>
      </c>
      <c r="C5" s="148" t="inlineStr">
        <is>
          <t>1.30</t>
        </is>
      </c>
    </row>
    <row r="6">
      <c r="A6" s="148" t="inlineStr"/>
      <c r="B6" s="148" t="inlineStr"/>
      <c r="C6" s="148" t="inlineStr"/>
    </row>
    <row r="7">
      <c r="A7" s="172" t="inlineStr">
        <is>
          <t>상업시설 보정계수</t>
        </is>
      </c>
      <c r="B7" s="172" t="inlineStr"/>
      <c r="C7" s="172" t="inlineStr"/>
    </row>
    <row r="8">
      <c r="A8" s="155" t="inlineStr">
        <is>
          <t>항목</t>
        </is>
      </c>
      <c r="B8" s="155" t="inlineStr">
        <is>
          <t>계수</t>
        </is>
      </c>
      <c r="C8" s="155" t="inlineStr">
        <is>
          <t>비고</t>
        </is>
      </c>
    </row>
    <row r="9">
      <c r="A9" s="167" t="inlineStr">
        <is>
          <t>F&amp;B (현장)</t>
        </is>
      </c>
      <c r="B9" s="167" t="inlineStr">
        <is>
          <t>1.15</t>
        </is>
      </c>
      <c r="C9" s="167" t="inlineStr">
        <is>
          <t>본 산출 적용</t>
        </is>
      </c>
    </row>
    <row r="10">
      <c r="A10" s="148" t="inlineStr">
        <is>
          <t>일반매장</t>
        </is>
      </c>
      <c r="B10" s="148" t="inlineStr">
        <is>
          <t>1.00</t>
        </is>
      </c>
      <c r="C10" s="148" t="inlineStr"/>
    </row>
    <row r="11">
      <c r="A11" s="148" t="inlineStr"/>
      <c r="B11" s="148" t="inlineStr"/>
      <c r="C11" s="148" t="inlineStr"/>
    </row>
    <row r="12">
      <c r="A12" s="172" t="inlineStr">
        <is>
          <t>여유율</t>
        </is>
      </c>
      <c r="B12" s="172" t="inlineStr"/>
      <c r="C12" s="172" t="inlineStr"/>
    </row>
    <row r="13">
      <c r="A13" s="148" t="inlineStr">
        <is>
          <t>간선</t>
        </is>
      </c>
      <c r="B13" s="148" t="inlineStr">
        <is>
          <t>1.18</t>
        </is>
      </c>
      <c r="C13" s="148" t="inlineStr">
        <is>
          <t>ST관 내 인입 여유</t>
        </is>
      </c>
    </row>
    <row r="14">
      <c r="A14" s="148" t="inlineStr">
        <is>
          <t>분기</t>
        </is>
      </c>
      <c r="B14" s="148" t="inlineStr">
        <is>
          <t>1.30</t>
        </is>
      </c>
      <c r="C14" s="148" t="inlineStr">
        <is>
          <t>꺾임·굴곡 고려</t>
        </is>
      </c>
    </row>
    <row r="15">
      <c r="A15" s="148" t="inlineStr"/>
      <c r="B15" s="148" t="inlineStr"/>
      <c r="C15" s="148" t="inlineStr"/>
    </row>
    <row r="16">
      <c r="A16" s="172" t="inlineStr">
        <is>
          <t>부속재 산출 간격</t>
        </is>
      </c>
      <c r="B16" s="172" t="inlineStr"/>
      <c r="C16" s="172" t="inlineStr"/>
    </row>
    <row r="17">
      <c r="A17" s="148" t="inlineStr">
        <is>
          <t>커플링</t>
        </is>
      </c>
      <c r="B17" s="148" t="inlineStr">
        <is>
          <t>3.6m</t>
        </is>
      </c>
      <c r="C17" s="148" t="inlineStr">
        <is>
          <t>ST관 1본 길이</t>
        </is>
      </c>
    </row>
    <row r="18">
      <c r="A18" s="148" t="inlineStr">
        <is>
          <t>새들</t>
        </is>
      </c>
      <c r="B18" s="148" t="inlineStr">
        <is>
          <t>1.5m</t>
        </is>
      </c>
      <c r="C18" s="148" t="inlineStr">
        <is>
          <t>지지 간격 KEC</t>
        </is>
      </c>
    </row>
    <row r="19">
      <c r="A19" s="148" t="inlineStr">
        <is>
          <t>전산볼트·유크램프</t>
        </is>
      </c>
      <c r="B19" s="148" t="inlineStr">
        <is>
          <t>1.5m</t>
        </is>
      </c>
      <c r="C19" s="148" t="inlineStr">
        <is>
          <t>천장 행거 간격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78" min="1" max="1"/>
    <col width="8" customWidth="1" style="78" min="2" max="2"/>
    <col width="24" customWidth="1" style="78" min="3" max="3"/>
    <col width="18" customWidth="1" style="78" min="4" max="4"/>
    <col width="6" customWidth="1" style="78" min="5" max="5"/>
    <col width="10" customWidth="1" style="78" min="6" max="6"/>
    <col width="10" customWidth="1" style="78" min="7" max="7"/>
    <col width="14" customWidth="1" style="78" min="8" max="8"/>
    <col width="18" customWidth="1" style="78" min="9" max="9"/>
  </cols>
  <sheetData>
    <row r="1">
      <c r="A1" s="155" t="inlineStr">
        <is>
          <t>공정명</t>
        </is>
      </c>
      <c r="B1" s="155" t="inlineStr">
        <is>
          <t>분류코드</t>
        </is>
      </c>
      <c r="C1" s="155" t="inlineStr">
        <is>
          <t>자재명</t>
        </is>
      </c>
      <c r="D1" s="155" t="inlineStr">
        <is>
          <t>규격</t>
        </is>
      </c>
      <c r="E1" s="155" t="inlineStr">
        <is>
          <t>단위</t>
        </is>
      </c>
      <c r="F1" s="155" t="inlineStr">
        <is>
          <t>총수량</t>
        </is>
      </c>
      <c r="G1" s="155" t="inlineStr">
        <is>
          <t>투입단계</t>
        </is>
      </c>
      <c r="H1" s="155" t="inlineStr">
        <is>
          <t>투입예정일</t>
        </is>
      </c>
      <c r="I1" s="155" t="inlineStr">
        <is>
          <t>비고</t>
        </is>
      </c>
    </row>
    <row r="2" ht="14.25" customHeight="1" s="78">
      <c r="A2" s="156" t="inlineStr">
        <is>
          <t>1. 전력간선공사</t>
        </is>
      </c>
      <c r="B2" s="174" t="n"/>
      <c r="C2" s="174" t="n"/>
      <c r="D2" s="174" t="n"/>
      <c r="E2" s="174" t="n"/>
      <c r="F2" s="174" t="n"/>
      <c r="G2" s="174" t="n"/>
      <c r="H2" s="174" t="n"/>
      <c r="I2" s="175" t="n"/>
    </row>
    <row r="3">
      <c r="A3" s="149" t="inlineStr">
        <is>
          <t>전력간선공사</t>
        </is>
      </c>
      <c r="B3" s="148" t="inlineStr">
        <is>
          <t>MAT</t>
        </is>
      </c>
      <c r="C3" s="149" t="inlineStr">
        <is>
          <t>F-CV + F-GV/E</t>
        </is>
      </c>
      <c r="D3" s="149" t="inlineStr">
        <is>
          <t>95㎟ 4C + F-GV 95㎟</t>
        </is>
      </c>
      <c r="E3" s="148" t="inlineStr">
        <is>
          <t>m</t>
        </is>
      </c>
      <c r="F3" s="160" t="n">
        <v>194.5</v>
      </c>
      <c r="G3" s="173" t="inlineStr"/>
      <c r="H3" s="173" t="inlineStr"/>
      <c r="I3" s="173" t="inlineStr"/>
    </row>
    <row r="4">
      <c r="A4" s="149" t="inlineStr">
        <is>
          <t>전력간선공사</t>
        </is>
      </c>
      <c r="B4" s="148" t="inlineStr">
        <is>
          <t>MAT</t>
        </is>
      </c>
      <c r="C4" s="149" t="inlineStr">
        <is>
          <t>F-CV + F-GV/E</t>
        </is>
      </c>
      <c r="D4" s="149" t="inlineStr">
        <is>
          <t>25㎟ 4C + F-GV 25㎟</t>
        </is>
      </c>
      <c r="E4" s="148" t="inlineStr">
        <is>
          <t>m</t>
        </is>
      </c>
      <c r="F4" s="160" t="n">
        <v>153.5</v>
      </c>
      <c r="G4" s="173" t="inlineStr"/>
      <c r="H4" s="173" t="inlineStr"/>
      <c r="I4" s="173" t="inlineStr"/>
    </row>
    <row r="5">
      <c r="A5" s="149" t="inlineStr">
        <is>
          <t>전력간선공사</t>
        </is>
      </c>
      <c r="B5" s="148" t="inlineStr">
        <is>
          <t>MAT</t>
        </is>
      </c>
      <c r="C5" s="149" t="inlineStr">
        <is>
          <t>F-CV + F-GV/E</t>
        </is>
      </c>
      <c r="D5" s="149" t="inlineStr">
        <is>
          <t>10㎟ 4C + F-GV 10㎟</t>
        </is>
      </c>
      <c r="E5" s="148" t="inlineStr">
        <is>
          <t>m</t>
        </is>
      </c>
      <c r="F5" s="160" t="n">
        <v>10</v>
      </c>
      <c r="G5" s="173" t="inlineStr"/>
      <c r="H5" s="173" t="inlineStr"/>
      <c r="I5" s="173" t="inlineStr"/>
    </row>
    <row r="6">
      <c r="A6" s="149" t="inlineStr">
        <is>
          <t>전력간선공사</t>
        </is>
      </c>
      <c r="B6" s="148" t="inlineStr">
        <is>
          <t>MAT</t>
        </is>
      </c>
      <c r="C6" s="149" t="inlineStr">
        <is>
          <t>F-CV + F-GV/E</t>
        </is>
      </c>
      <c r="D6" s="149" t="inlineStr">
        <is>
          <t>6㎟ 4C + E 6㎟</t>
        </is>
      </c>
      <c r="E6" s="148" t="inlineStr">
        <is>
          <t>m</t>
        </is>
      </c>
      <c r="F6" s="160" t="n">
        <v>124</v>
      </c>
      <c r="G6" s="173" t="inlineStr"/>
      <c r="H6" s="173" t="inlineStr"/>
      <c r="I6" s="173" t="inlineStr"/>
    </row>
    <row r="7">
      <c r="A7" s="149" t="inlineStr">
        <is>
          <t>전력간선공사</t>
        </is>
      </c>
      <c r="B7" s="148" t="inlineStr">
        <is>
          <t>MAT</t>
        </is>
      </c>
      <c r="C7" s="149" t="inlineStr">
        <is>
          <t>강제전선관 (ST)</t>
        </is>
      </c>
      <c r="D7" s="149" t="inlineStr">
        <is>
          <t>36mm</t>
        </is>
      </c>
      <c r="E7" s="148" t="inlineStr">
        <is>
          <t>m</t>
        </is>
      </c>
      <c r="F7" s="160" t="n">
        <v>63.7</v>
      </c>
      <c r="G7" s="173" t="inlineStr"/>
      <c r="H7" s="173" t="inlineStr"/>
      <c r="I7" s="173" t="inlineStr"/>
    </row>
    <row r="8">
      <c r="A8" s="149" t="inlineStr">
        <is>
          <t>전력간선공사</t>
        </is>
      </c>
      <c r="B8" s="148" t="inlineStr">
        <is>
          <t>MAT</t>
        </is>
      </c>
      <c r="C8" s="149" t="inlineStr">
        <is>
          <t>강제전선관 (ST)</t>
        </is>
      </c>
      <c r="D8" s="149" t="inlineStr">
        <is>
          <t>28mm</t>
        </is>
      </c>
      <c r="E8" s="148" t="inlineStr">
        <is>
          <t>m</t>
        </is>
      </c>
      <c r="F8" s="160" t="n">
        <v>32.7</v>
      </c>
      <c r="G8" s="173" t="inlineStr"/>
      <c r="H8" s="173" t="inlineStr"/>
      <c r="I8" s="173" t="inlineStr"/>
    </row>
    <row r="9">
      <c r="A9" s="149" t="inlineStr">
        <is>
          <t>전력간선공사</t>
        </is>
      </c>
      <c r="B9" s="148" t="inlineStr">
        <is>
          <t>SUP</t>
        </is>
      </c>
      <c r="C9" s="149" t="inlineStr">
        <is>
          <t>유크램프</t>
        </is>
      </c>
      <c r="D9" s="149" t="inlineStr">
        <is>
          <t>공용</t>
        </is>
      </c>
      <c r="E9" s="148" t="inlineStr">
        <is>
          <t>EA</t>
        </is>
      </c>
      <c r="F9" s="171" t="n">
        <v>65</v>
      </c>
      <c r="G9" s="173" t="inlineStr"/>
      <c r="H9" s="173" t="inlineStr"/>
      <c r="I9" s="173" t="inlineStr"/>
    </row>
    <row r="10">
      <c r="A10" s="149" t="inlineStr">
        <is>
          <t>전력간선공사</t>
        </is>
      </c>
      <c r="B10" s="148" t="inlineStr">
        <is>
          <t>SUP</t>
        </is>
      </c>
      <c r="C10" s="149" t="inlineStr">
        <is>
          <t>전산볼트 M10 × 1m</t>
        </is>
      </c>
      <c r="D10" s="149" t="inlineStr">
        <is>
          <t>M10</t>
        </is>
      </c>
      <c r="E10" s="148" t="inlineStr">
        <is>
          <t>EA</t>
        </is>
      </c>
      <c r="F10" s="171" t="n">
        <v>65</v>
      </c>
      <c r="G10" s="173" t="inlineStr"/>
      <c r="H10" s="173" t="inlineStr"/>
      <c r="I10" s="173" t="inlineStr"/>
    </row>
    <row r="11" ht="14.25" customHeight="1" s="78">
      <c r="A11" s="156" t="inlineStr">
        <is>
          <t>2. 1F 동력·환기공사</t>
        </is>
      </c>
      <c r="B11" s="174" t="n"/>
      <c r="C11" s="174" t="n"/>
      <c r="D11" s="174" t="n"/>
      <c r="E11" s="174" t="n"/>
      <c r="F11" s="174" t="n"/>
      <c r="G11" s="174" t="n"/>
      <c r="H11" s="174" t="n"/>
      <c r="I11" s="175" t="n"/>
    </row>
    <row r="12">
      <c r="A12" s="149" t="inlineStr">
        <is>
          <t>1F 동력·환기공사</t>
        </is>
      </c>
      <c r="B12" s="148" t="inlineStr">
        <is>
          <t>MAT</t>
        </is>
      </c>
      <c r="C12" s="149" t="inlineStr">
        <is>
          <t>HFIX 내열비닐</t>
        </is>
      </c>
      <c r="D12" s="149" t="inlineStr">
        <is>
          <t>6㎟ 4C</t>
        </is>
      </c>
      <c r="E12" s="148" t="inlineStr">
        <is>
          <t>m</t>
        </is>
      </c>
      <c r="F12" s="160" t="n">
        <v>1185.6</v>
      </c>
      <c r="G12" s="173" t="inlineStr"/>
      <c r="H12" s="173" t="inlineStr"/>
      <c r="I12" s="173" t="inlineStr"/>
    </row>
    <row r="13">
      <c r="A13" s="149" t="inlineStr">
        <is>
          <t>1F 동력·환기공사</t>
        </is>
      </c>
      <c r="B13" s="148" t="inlineStr">
        <is>
          <t>MAT</t>
        </is>
      </c>
      <c r="C13" s="149" t="inlineStr">
        <is>
          <t>HFIX 내열비닐</t>
        </is>
      </c>
      <c r="D13" s="149" t="inlineStr">
        <is>
          <t>4㎟ 3C</t>
        </is>
      </c>
      <c r="E13" s="148" t="inlineStr">
        <is>
          <t>m</t>
        </is>
      </c>
      <c r="F13" s="160" t="n">
        <v>62.4</v>
      </c>
      <c r="G13" s="173" t="inlineStr"/>
      <c r="H13" s="173" t="inlineStr"/>
      <c r="I13" s="173" t="inlineStr"/>
    </row>
    <row r="14">
      <c r="A14" s="149" t="inlineStr">
        <is>
          <t>1F 동력·환기공사</t>
        </is>
      </c>
      <c r="B14" s="148" t="inlineStr">
        <is>
          <t>MAT</t>
        </is>
      </c>
      <c r="C14" s="149" t="inlineStr">
        <is>
          <t>HFIX 내열비닐</t>
        </is>
      </c>
      <c r="D14" s="149" t="inlineStr">
        <is>
          <t>2.5㎟ 3C</t>
        </is>
      </c>
      <c r="E14" s="148" t="inlineStr">
        <is>
          <t>m</t>
        </is>
      </c>
      <c r="F14" s="160" t="n">
        <v>245.7</v>
      </c>
      <c r="G14" s="173" t="inlineStr"/>
      <c r="H14" s="173" t="inlineStr"/>
      <c r="I14" s="173" t="inlineStr"/>
    </row>
    <row r="15">
      <c r="A15" s="149" t="inlineStr">
        <is>
          <t>1F 동력·환기공사</t>
        </is>
      </c>
      <c r="B15" s="148" t="inlineStr">
        <is>
          <t>MAT</t>
        </is>
      </c>
      <c r="C15" s="149" t="inlineStr">
        <is>
          <t>강제전선관 (ST)</t>
        </is>
      </c>
      <c r="D15" s="149" t="inlineStr">
        <is>
          <t>22mm</t>
        </is>
      </c>
      <c r="E15" s="148" t="inlineStr">
        <is>
          <t>m</t>
        </is>
      </c>
      <c r="F15" s="160" t="n">
        <v>317.2</v>
      </c>
      <c r="G15" s="173" t="inlineStr"/>
      <c r="H15" s="173" t="inlineStr"/>
      <c r="I15" s="173" t="inlineStr"/>
    </row>
    <row r="16">
      <c r="A16" s="149" t="inlineStr">
        <is>
          <t>1F 동력·환기공사</t>
        </is>
      </c>
      <c r="B16" s="148" t="inlineStr">
        <is>
          <t>MAT</t>
        </is>
      </c>
      <c r="C16" s="149" t="inlineStr">
        <is>
          <t>강제전선관 (ST)</t>
        </is>
      </c>
      <c r="D16" s="149" t="inlineStr">
        <is>
          <t>16mm</t>
        </is>
      </c>
      <c r="E16" s="148" t="inlineStr">
        <is>
          <t>m</t>
        </is>
      </c>
      <c r="F16" s="160" t="n">
        <v>81.90000000000001</v>
      </c>
      <c r="G16" s="173" t="inlineStr"/>
      <c r="H16" s="173" t="inlineStr"/>
      <c r="I16" s="173" t="inlineStr"/>
    </row>
    <row r="17">
      <c r="A17" s="149" t="inlineStr">
        <is>
          <t>1F 동력·환기공사</t>
        </is>
      </c>
      <c r="B17" s="148" t="inlineStr">
        <is>
          <t>SUP</t>
        </is>
      </c>
      <c r="C17" s="149" t="inlineStr">
        <is>
          <t>유크램프</t>
        </is>
      </c>
      <c r="D17" s="149" t="inlineStr">
        <is>
          <t>공용</t>
        </is>
      </c>
      <c r="E17" s="148" t="inlineStr">
        <is>
          <t>EA</t>
        </is>
      </c>
      <c r="F17" s="171" t="n">
        <v>267</v>
      </c>
      <c r="G17" s="173" t="inlineStr"/>
      <c r="H17" s="173" t="inlineStr"/>
      <c r="I17" s="173" t="inlineStr"/>
    </row>
    <row r="18">
      <c r="A18" s="149" t="inlineStr">
        <is>
          <t>1F 동력·환기공사</t>
        </is>
      </c>
      <c r="B18" s="148" t="inlineStr">
        <is>
          <t>SUP</t>
        </is>
      </c>
      <c r="C18" s="149" t="inlineStr">
        <is>
          <t>전산볼트 M10 × 1m</t>
        </is>
      </c>
      <c r="D18" s="149" t="inlineStr">
        <is>
          <t>M10</t>
        </is>
      </c>
      <c r="E18" s="148" t="inlineStr">
        <is>
          <t>EA</t>
        </is>
      </c>
      <c r="F18" s="171" t="n">
        <v>267</v>
      </c>
      <c r="G18" s="173" t="inlineStr"/>
      <c r="H18" s="173" t="inlineStr"/>
      <c r="I18" s="173" t="inlineStr"/>
    </row>
    <row r="19" ht="14.25" customHeight="1" s="78">
      <c r="A19" s="156" t="inlineStr">
        <is>
          <t>3. 1F 주방동력공사</t>
        </is>
      </c>
      <c r="B19" s="174" t="n"/>
      <c r="C19" s="174" t="n"/>
      <c r="D19" s="174" t="n"/>
      <c r="E19" s="174" t="n"/>
      <c r="F19" s="174" t="n"/>
      <c r="G19" s="174" t="n"/>
      <c r="H19" s="174" t="n"/>
      <c r="I19" s="175" t="n"/>
    </row>
    <row r="20">
      <c r="A20" s="149" t="inlineStr">
        <is>
          <t>1F 주방동력공사</t>
        </is>
      </c>
      <c r="B20" s="148" t="inlineStr">
        <is>
          <t>MAT</t>
        </is>
      </c>
      <c r="C20" s="149" t="inlineStr">
        <is>
          <t>F-CV 0.6/1kV</t>
        </is>
      </c>
      <c r="D20" s="149" t="inlineStr">
        <is>
          <t>6㎟ 4C</t>
        </is>
      </c>
      <c r="E20" s="148" t="inlineStr">
        <is>
          <t>m</t>
        </is>
      </c>
      <c r="F20" s="160" t="n">
        <v>104</v>
      </c>
      <c r="G20" s="173" t="inlineStr"/>
      <c r="H20" s="173" t="inlineStr"/>
      <c r="I20" s="173" t="inlineStr"/>
    </row>
    <row r="21">
      <c r="A21" s="149" t="inlineStr">
        <is>
          <t>1F 주방동력공사</t>
        </is>
      </c>
      <c r="B21" s="148" t="inlineStr">
        <is>
          <t>MAT</t>
        </is>
      </c>
      <c r="C21" s="149" t="inlineStr">
        <is>
          <t>F-CV 0.6/1kV</t>
        </is>
      </c>
      <c r="D21" s="149" t="inlineStr">
        <is>
          <t>4㎟ 3C</t>
        </is>
      </c>
      <c r="E21" s="148" t="inlineStr">
        <is>
          <t>m</t>
        </is>
      </c>
      <c r="F21" s="160" t="n">
        <v>624</v>
      </c>
      <c r="G21" s="173" t="inlineStr"/>
      <c r="H21" s="173" t="inlineStr"/>
      <c r="I21" s="173" t="inlineStr"/>
    </row>
    <row r="22">
      <c r="A22" s="149" t="inlineStr">
        <is>
          <t>1F 주방동력공사</t>
        </is>
      </c>
      <c r="B22" s="148" t="inlineStr">
        <is>
          <t>MAT</t>
        </is>
      </c>
      <c r="C22" s="149" t="inlineStr">
        <is>
          <t>강제전선관 (ST)</t>
        </is>
      </c>
      <c r="D22" s="149" t="inlineStr">
        <is>
          <t>36mm</t>
        </is>
      </c>
      <c r="E22" s="148" t="inlineStr">
        <is>
          <t>m</t>
        </is>
      </c>
      <c r="F22" s="160" t="n">
        <v>26</v>
      </c>
      <c r="G22" s="173" t="inlineStr"/>
      <c r="H22" s="173" t="inlineStr"/>
      <c r="I22" s="173" t="inlineStr"/>
    </row>
    <row r="23">
      <c r="A23" s="149" t="inlineStr">
        <is>
          <t>1F 주방동력공사</t>
        </is>
      </c>
      <c r="B23" s="148" t="inlineStr">
        <is>
          <t>MAT</t>
        </is>
      </c>
      <c r="C23" s="149" t="inlineStr">
        <is>
          <t>강제전선관 (ST)</t>
        </is>
      </c>
      <c r="D23" s="149" t="inlineStr">
        <is>
          <t>28mm</t>
        </is>
      </c>
      <c r="E23" s="148" t="inlineStr">
        <is>
          <t>m</t>
        </is>
      </c>
      <c r="F23" s="160" t="n">
        <v>208</v>
      </c>
      <c r="G23" s="173" t="inlineStr"/>
      <c r="H23" s="173" t="inlineStr"/>
      <c r="I23" s="173" t="inlineStr"/>
    </row>
    <row r="24">
      <c r="A24" s="149" t="inlineStr">
        <is>
          <t>1F 주방동력공사</t>
        </is>
      </c>
      <c r="B24" s="148" t="inlineStr">
        <is>
          <t>SUP</t>
        </is>
      </c>
      <c r="C24" s="149" t="inlineStr">
        <is>
          <t>유크램프</t>
        </is>
      </c>
      <c r="D24" s="149" t="inlineStr">
        <is>
          <t>공용</t>
        </is>
      </c>
      <c r="E24" s="148" t="inlineStr">
        <is>
          <t>EA</t>
        </is>
      </c>
      <c r="F24" s="171" t="n">
        <v>156</v>
      </c>
      <c r="G24" s="173" t="inlineStr"/>
      <c r="H24" s="173" t="inlineStr"/>
      <c r="I24" s="173" t="inlineStr"/>
    </row>
    <row r="25">
      <c r="A25" s="149" t="inlineStr">
        <is>
          <t>1F 주방동력공사</t>
        </is>
      </c>
      <c r="B25" s="148" t="inlineStr">
        <is>
          <t>SUP</t>
        </is>
      </c>
      <c r="C25" s="149" t="inlineStr">
        <is>
          <t>전산볼트 M10 × 1m</t>
        </is>
      </c>
      <c r="D25" s="149" t="inlineStr">
        <is>
          <t>M10</t>
        </is>
      </c>
      <c r="E25" s="148" t="inlineStr">
        <is>
          <t>EA</t>
        </is>
      </c>
      <c r="F25" s="171" t="n">
        <v>156</v>
      </c>
      <c r="G25" s="173" t="inlineStr"/>
      <c r="H25" s="173" t="inlineStr"/>
      <c r="I25" s="173" t="inlineStr"/>
    </row>
    <row r="26" ht="14.25" customHeight="1" s="78">
      <c r="A26" s="156" t="inlineStr">
        <is>
          <t>4. 1F 전열공사</t>
        </is>
      </c>
      <c r="B26" s="174" t="n"/>
      <c r="C26" s="174" t="n"/>
      <c r="D26" s="174" t="n"/>
      <c r="E26" s="174" t="n"/>
      <c r="F26" s="174" t="n"/>
      <c r="G26" s="174" t="n"/>
      <c r="H26" s="174" t="n"/>
      <c r="I26" s="175" t="n"/>
    </row>
    <row r="27">
      <c r="A27" s="149" t="inlineStr">
        <is>
          <t>1F 전열공사</t>
        </is>
      </c>
      <c r="B27" s="148" t="inlineStr">
        <is>
          <t>MAT</t>
        </is>
      </c>
      <c r="C27" s="149" t="inlineStr">
        <is>
          <t>HFIX 내열비닐</t>
        </is>
      </c>
      <c r="D27" s="149" t="inlineStr">
        <is>
          <t>4㎟ 3C</t>
        </is>
      </c>
      <c r="E27" s="148" t="inlineStr">
        <is>
          <t>m</t>
        </is>
      </c>
      <c r="F27" s="160" t="n">
        <v>327.6</v>
      </c>
      <c r="G27" s="173" t="inlineStr"/>
      <c r="H27" s="173" t="inlineStr"/>
      <c r="I27" s="173" t="inlineStr"/>
    </row>
    <row r="28">
      <c r="A28" s="149" t="inlineStr">
        <is>
          <t>1F 전열공사</t>
        </is>
      </c>
      <c r="B28" s="148" t="inlineStr">
        <is>
          <t>MAT</t>
        </is>
      </c>
      <c r="C28" s="149" t="inlineStr">
        <is>
          <t>강제전선관 (ST)</t>
        </is>
      </c>
      <c r="D28" s="149" t="inlineStr">
        <is>
          <t>22mm</t>
        </is>
      </c>
      <c r="E28" s="148" t="inlineStr">
        <is>
          <t>m</t>
        </is>
      </c>
      <c r="F28" s="160" t="n">
        <v>109.2</v>
      </c>
      <c r="G28" s="173" t="inlineStr"/>
      <c r="H28" s="173" t="inlineStr"/>
      <c r="I28" s="173" t="inlineStr"/>
    </row>
    <row r="29">
      <c r="A29" s="149" t="inlineStr">
        <is>
          <t>1F 전열공사</t>
        </is>
      </c>
      <c r="B29" s="148" t="inlineStr">
        <is>
          <t>SUP</t>
        </is>
      </c>
      <c r="C29" s="149" t="inlineStr">
        <is>
          <t>유크램프</t>
        </is>
      </c>
      <c r="D29" s="149" t="inlineStr">
        <is>
          <t>공용</t>
        </is>
      </c>
      <c r="E29" s="148" t="inlineStr">
        <is>
          <t>EA</t>
        </is>
      </c>
      <c r="F29" s="171" t="n">
        <v>73</v>
      </c>
      <c r="G29" s="173" t="inlineStr"/>
      <c r="H29" s="173" t="inlineStr"/>
      <c r="I29" s="173" t="inlineStr"/>
    </row>
    <row r="30">
      <c r="A30" s="149" t="inlineStr">
        <is>
          <t>1F 전열공사</t>
        </is>
      </c>
      <c r="B30" s="148" t="inlineStr">
        <is>
          <t>SUP</t>
        </is>
      </c>
      <c r="C30" s="149" t="inlineStr">
        <is>
          <t>전산볼트 M10 × 1m</t>
        </is>
      </c>
      <c r="D30" s="149" t="inlineStr">
        <is>
          <t>M10</t>
        </is>
      </c>
      <c r="E30" s="148" t="inlineStr">
        <is>
          <t>EA</t>
        </is>
      </c>
      <c r="F30" s="171" t="n">
        <v>73</v>
      </c>
      <c r="G30" s="173" t="inlineStr"/>
      <c r="H30" s="173" t="inlineStr"/>
      <c r="I30" s="173" t="inlineStr"/>
    </row>
    <row r="31" ht="14.25" customHeight="1" s="78">
      <c r="A31" s="156" t="inlineStr">
        <is>
          <t>5. 1F 조명공사</t>
        </is>
      </c>
      <c r="B31" s="174" t="n"/>
      <c r="C31" s="174" t="n"/>
      <c r="D31" s="174" t="n"/>
      <c r="E31" s="174" t="n"/>
      <c r="F31" s="174" t="n"/>
      <c r="G31" s="174" t="n"/>
      <c r="H31" s="174" t="n"/>
      <c r="I31" s="175" t="n"/>
    </row>
    <row r="32">
      <c r="A32" s="149" t="inlineStr">
        <is>
          <t>1F 조명공사</t>
        </is>
      </c>
      <c r="B32" s="148" t="inlineStr">
        <is>
          <t>MAT</t>
        </is>
      </c>
      <c r="C32" s="149" t="inlineStr">
        <is>
          <t>HFIX 내열비닐</t>
        </is>
      </c>
      <c r="D32" s="149" t="inlineStr">
        <is>
          <t>2.5㎟ 3C</t>
        </is>
      </c>
      <c r="E32" s="148" t="inlineStr">
        <is>
          <t>m</t>
        </is>
      </c>
      <c r="F32" s="160" t="n">
        <v>273</v>
      </c>
      <c r="G32" s="173" t="inlineStr"/>
      <c r="H32" s="173" t="inlineStr"/>
      <c r="I32" s="173" t="inlineStr"/>
    </row>
    <row r="33">
      <c r="A33" s="149" t="inlineStr">
        <is>
          <t>1F 조명공사</t>
        </is>
      </c>
      <c r="B33" s="148" t="inlineStr">
        <is>
          <t>MAT</t>
        </is>
      </c>
      <c r="C33" s="149" t="inlineStr">
        <is>
          <t>HFIX 내열비닐</t>
        </is>
      </c>
      <c r="D33" s="149" t="inlineStr">
        <is>
          <t>4㎟ 3C</t>
        </is>
      </c>
      <c r="E33" s="148" t="inlineStr">
        <is>
          <t>m</t>
        </is>
      </c>
      <c r="F33" s="160" t="n">
        <v>117</v>
      </c>
      <c r="G33" s="173" t="inlineStr"/>
      <c r="H33" s="173" t="inlineStr"/>
      <c r="I33" s="173" t="inlineStr"/>
    </row>
    <row r="34">
      <c r="A34" s="149" t="inlineStr">
        <is>
          <t>1F 조명공사</t>
        </is>
      </c>
      <c r="B34" s="148" t="inlineStr">
        <is>
          <t>MAT</t>
        </is>
      </c>
      <c r="C34" s="149" t="inlineStr">
        <is>
          <t>강제전선관 (ST)</t>
        </is>
      </c>
      <c r="D34" s="149" t="inlineStr">
        <is>
          <t>16mm</t>
        </is>
      </c>
      <c r="E34" s="148" t="inlineStr">
        <is>
          <t>m</t>
        </is>
      </c>
      <c r="F34" s="160" t="n">
        <v>91</v>
      </c>
      <c r="G34" s="173" t="inlineStr"/>
      <c r="H34" s="173" t="inlineStr"/>
      <c r="I34" s="173" t="inlineStr"/>
    </row>
    <row r="35">
      <c r="A35" s="149" t="inlineStr">
        <is>
          <t>1F 조명공사</t>
        </is>
      </c>
      <c r="B35" s="148" t="inlineStr">
        <is>
          <t>MAT</t>
        </is>
      </c>
      <c r="C35" s="149" t="inlineStr">
        <is>
          <t>강제전선관 (ST)</t>
        </is>
      </c>
      <c r="D35" s="149" t="inlineStr">
        <is>
          <t>22mm</t>
        </is>
      </c>
      <c r="E35" s="148" t="inlineStr">
        <is>
          <t>m</t>
        </is>
      </c>
      <c r="F35" s="160" t="n">
        <v>39</v>
      </c>
      <c r="G35" s="173" t="inlineStr"/>
      <c r="H35" s="173" t="inlineStr"/>
      <c r="I35" s="173" t="inlineStr"/>
    </row>
    <row r="36">
      <c r="A36" s="149" t="inlineStr">
        <is>
          <t>1F 조명공사</t>
        </is>
      </c>
      <c r="B36" s="148" t="inlineStr">
        <is>
          <t>SUP</t>
        </is>
      </c>
      <c r="C36" s="149" t="inlineStr">
        <is>
          <t>유크램프</t>
        </is>
      </c>
      <c r="D36" s="149" t="inlineStr">
        <is>
          <t>공용</t>
        </is>
      </c>
      <c r="E36" s="148" t="inlineStr">
        <is>
          <t>EA</t>
        </is>
      </c>
      <c r="F36" s="171" t="n">
        <v>87</v>
      </c>
      <c r="G36" s="173" t="inlineStr"/>
      <c r="H36" s="173" t="inlineStr"/>
      <c r="I36" s="173" t="inlineStr"/>
    </row>
    <row r="37">
      <c r="A37" s="149" t="inlineStr">
        <is>
          <t>1F 조명공사</t>
        </is>
      </c>
      <c r="B37" s="148" t="inlineStr">
        <is>
          <t>SUP</t>
        </is>
      </c>
      <c r="C37" s="149" t="inlineStr">
        <is>
          <t>전산볼트 M10 × 1m</t>
        </is>
      </c>
      <c r="D37" s="149" t="inlineStr">
        <is>
          <t>M10</t>
        </is>
      </c>
      <c r="E37" s="148" t="inlineStr">
        <is>
          <t>EA</t>
        </is>
      </c>
      <c r="F37" s="171" t="n">
        <v>87</v>
      </c>
      <c r="G37" s="173" t="inlineStr"/>
      <c r="H37" s="173" t="inlineStr"/>
      <c r="I37" s="173" t="inlineStr"/>
    </row>
    <row r="38" ht="14.25" customHeight="1" s="78">
      <c r="A38" s="156" t="inlineStr">
        <is>
          <t>6. 2F 동력·환기공사</t>
        </is>
      </c>
      <c r="B38" s="174" t="n"/>
      <c r="C38" s="174" t="n"/>
      <c r="D38" s="174" t="n"/>
      <c r="E38" s="174" t="n"/>
      <c r="F38" s="174" t="n"/>
      <c r="G38" s="174" t="n"/>
      <c r="H38" s="174" t="n"/>
      <c r="I38" s="175" t="n"/>
    </row>
    <row r="39">
      <c r="A39" s="149" t="inlineStr">
        <is>
          <t>2F 동력·환기공사</t>
        </is>
      </c>
      <c r="B39" s="148" t="inlineStr">
        <is>
          <t>MAT</t>
        </is>
      </c>
      <c r="C39" s="149" t="inlineStr">
        <is>
          <t>HFIX 내열비닐</t>
        </is>
      </c>
      <c r="D39" s="149" t="inlineStr">
        <is>
          <t>4㎟ 4C</t>
        </is>
      </c>
      <c r="E39" s="148" t="inlineStr">
        <is>
          <t>m</t>
        </is>
      </c>
      <c r="F39" s="160" t="n">
        <v>171.6</v>
      </c>
      <c r="G39" s="173" t="inlineStr"/>
      <c r="H39" s="173" t="inlineStr"/>
      <c r="I39" s="173" t="inlineStr"/>
    </row>
    <row r="40">
      <c r="A40" s="149" t="inlineStr">
        <is>
          <t>2F 동력·환기공사</t>
        </is>
      </c>
      <c r="B40" s="148" t="inlineStr">
        <is>
          <t>MAT</t>
        </is>
      </c>
      <c r="C40" s="149" t="inlineStr">
        <is>
          <t>HFIX 내열비닐</t>
        </is>
      </c>
      <c r="D40" s="149" t="inlineStr">
        <is>
          <t>4㎟ 3C</t>
        </is>
      </c>
      <c r="E40" s="148" t="inlineStr">
        <is>
          <t>m</t>
        </is>
      </c>
      <c r="F40" s="160" t="n">
        <v>140.4</v>
      </c>
      <c r="G40" s="173" t="inlineStr"/>
      <c r="H40" s="173" t="inlineStr"/>
      <c r="I40" s="173" t="inlineStr"/>
    </row>
    <row r="41">
      <c r="A41" s="149" t="inlineStr">
        <is>
          <t>2F 동력·환기공사</t>
        </is>
      </c>
      <c r="B41" s="148" t="inlineStr">
        <is>
          <t>MAT</t>
        </is>
      </c>
      <c r="C41" s="149" t="inlineStr">
        <is>
          <t>HFIX 내열비닐</t>
        </is>
      </c>
      <c r="D41" s="149" t="inlineStr">
        <is>
          <t>2.5㎟ 3C</t>
        </is>
      </c>
      <c r="E41" s="148" t="inlineStr">
        <is>
          <t>m</t>
        </is>
      </c>
      <c r="F41" s="160" t="n">
        <v>78</v>
      </c>
      <c r="G41" s="173" t="inlineStr"/>
      <c r="H41" s="173" t="inlineStr"/>
      <c r="I41" s="173" t="inlineStr"/>
    </row>
    <row r="42">
      <c r="A42" s="149" t="inlineStr">
        <is>
          <t>2F 동력·환기공사</t>
        </is>
      </c>
      <c r="B42" s="148" t="inlineStr">
        <is>
          <t>MAT</t>
        </is>
      </c>
      <c r="C42" s="149" t="inlineStr">
        <is>
          <t>강제전선관 (ST)</t>
        </is>
      </c>
      <c r="D42" s="149" t="inlineStr">
        <is>
          <t>22mm</t>
        </is>
      </c>
      <c r="E42" s="148" t="inlineStr">
        <is>
          <t>m</t>
        </is>
      </c>
      <c r="F42" s="160" t="n">
        <v>89.7</v>
      </c>
      <c r="G42" s="173" t="inlineStr"/>
      <c r="H42" s="173" t="inlineStr"/>
      <c r="I42" s="173" t="inlineStr"/>
    </row>
    <row r="43">
      <c r="A43" s="149" t="inlineStr">
        <is>
          <t>2F 동력·환기공사</t>
        </is>
      </c>
      <c r="B43" s="148" t="inlineStr">
        <is>
          <t>MAT</t>
        </is>
      </c>
      <c r="C43" s="149" t="inlineStr">
        <is>
          <t>강제전선관 (ST)</t>
        </is>
      </c>
      <c r="D43" s="149" t="inlineStr">
        <is>
          <t>16mm</t>
        </is>
      </c>
      <c r="E43" s="148" t="inlineStr">
        <is>
          <t>m</t>
        </is>
      </c>
      <c r="F43" s="160" t="n">
        <v>26</v>
      </c>
      <c r="G43" s="173" t="inlineStr"/>
      <c r="H43" s="173" t="inlineStr"/>
      <c r="I43" s="173" t="inlineStr"/>
    </row>
    <row r="44">
      <c r="A44" s="149" t="inlineStr">
        <is>
          <t>2F 동력·환기공사</t>
        </is>
      </c>
      <c r="B44" s="148" t="inlineStr">
        <is>
          <t>SUP</t>
        </is>
      </c>
      <c r="C44" s="149" t="inlineStr">
        <is>
          <t>유크램프</t>
        </is>
      </c>
      <c r="D44" s="149" t="inlineStr">
        <is>
          <t>공용</t>
        </is>
      </c>
      <c r="E44" s="148" t="inlineStr">
        <is>
          <t>EA</t>
        </is>
      </c>
      <c r="F44" s="171" t="n">
        <v>78</v>
      </c>
      <c r="G44" s="173" t="inlineStr"/>
      <c r="H44" s="173" t="inlineStr"/>
      <c r="I44" s="173" t="inlineStr"/>
    </row>
    <row r="45">
      <c r="A45" s="149" t="inlineStr">
        <is>
          <t>2F 동력·환기공사</t>
        </is>
      </c>
      <c r="B45" s="148" t="inlineStr">
        <is>
          <t>SUP</t>
        </is>
      </c>
      <c r="C45" s="149" t="inlineStr">
        <is>
          <t>전산볼트 M10 × 1m</t>
        </is>
      </c>
      <c r="D45" s="149" t="inlineStr">
        <is>
          <t>M10</t>
        </is>
      </c>
      <c r="E45" s="148" t="inlineStr">
        <is>
          <t>EA</t>
        </is>
      </c>
      <c r="F45" s="171" t="n">
        <v>78</v>
      </c>
      <c r="G45" s="173" t="inlineStr"/>
      <c r="H45" s="173" t="inlineStr"/>
      <c r="I45" s="173" t="inlineStr"/>
    </row>
    <row r="46" ht="14.25" customHeight="1" s="78">
      <c r="A46" s="156" t="inlineStr">
        <is>
          <t>7. 2F 주방동력공사</t>
        </is>
      </c>
      <c r="B46" s="174" t="n"/>
      <c r="C46" s="174" t="n"/>
      <c r="D46" s="174" t="n"/>
      <c r="E46" s="174" t="n"/>
      <c r="F46" s="174" t="n"/>
      <c r="G46" s="174" t="n"/>
      <c r="H46" s="174" t="n"/>
      <c r="I46" s="175" t="n"/>
    </row>
    <row r="47">
      <c r="A47" s="149" t="inlineStr">
        <is>
          <t>2F 주방동력공사</t>
        </is>
      </c>
      <c r="B47" s="148" t="inlineStr">
        <is>
          <t>MAT</t>
        </is>
      </c>
      <c r="C47" s="149" t="inlineStr">
        <is>
          <t>F-CV 0.6/1kV</t>
        </is>
      </c>
      <c r="D47" s="149" t="inlineStr">
        <is>
          <t>4㎟ 3C</t>
        </is>
      </c>
      <c r="E47" s="148" t="inlineStr">
        <is>
          <t>m</t>
        </is>
      </c>
      <c r="F47" s="160" t="n">
        <v>124.8</v>
      </c>
      <c r="G47" s="173" t="inlineStr"/>
      <c r="H47" s="173" t="inlineStr"/>
      <c r="I47" s="173" t="inlineStr"/>
    </row>
    <row r="48">
      <c r="A48" s="149" t="inlineStr">
        <is>
          <t>2F 주방동력공사</t>
        </is>
      </c>
      <c r="B48" s="148" t="inlineStr">
        <is>
          <t>MAT</t>
        </is>
      </c>
      <c r="C48" s="149" t="inlineStr">
        <is>
          <t>강제전선관 (ST)</t>
        </is>
      </c>
      <c r="D48" s="149" t="inlineStr">
        <is>
          <t>28mm</t>
        </is>
      </c>
      <c r="E48" s="148" t="inlineStr">
        <is>
          <t>m</t>
        </is>
      </c>
      <c r="F48" s="160" t="n">
        <v>41.6</v>
      </c>
      <c r="G48" s="173" t="inlineStr"/>
      <c r="H48" s="173" t="inlineStr"/>
      <c r="I48" s="173" t="inlineStr"/>
    </row>
    <row r="49">
      <c r="A49" s="149" t="inlineStr">
        <is>
          <t>2F 주방동력공사</t>
        </is>
      </c>
      <c r="B49" s="148" t="inlineStr">
        <is>
          <t>SUP</t>
        </is>
      </c>
      <c r="C49" s="149" t="inlineStr">
        <is>
          <t>유크램프</t>
        </is>
      </c>
      <c r="D49" s="149" t="inlineStr">
        <is>
          <t>공용</t>
        </is>
      </c>
      <c r="E49" s="148" t="inlineStr">
        <is>
          <t>EA</t>
        </is>
      </c>
      <c r="F49" s="171" t="n">
        <v>28</v>
      </c>
      <c r="G49" s="173" t="inlineStr"/>
      <c r="H49" s="173" t="inlineStr"/>
      <c r="I49" s="173" t="inlineStr"/>
    </row>
    <row r="50">
      <c r="A50" s="149" t="inlineStr">
        <is>
          <t>2F 주방동력공사</t>
        </is>
      </c>
      <c r="B50" s="148" t="inlineStr">
        <is>
          <t>SUP</t>
        </is>
      </c>
      <c r="C50" s="149" t="inlineStr">
        <is>
          <t>전산볼트 M10 × 1m</t>
        </is>
      </c>
      <c r="D50" s="149" t="inlineStr">
        <is>
          <t>M10</t>
        </is>
      </c>
      <c r="E50" s="148" t="inlineStr">
        <is>
          <t>EA</t>
        </is>
      </c>
      <c r="F50" s="171" t="n">
        <v>28</v>
      </c>
      <c r="G50" s="173" t="inlineStr"/>
      <c r="H50" s="173" t="inlineStr"/>
      <c r="I50" s="173" t="inlineStr"/>
    </row>
    <row r="51" ht="14.25" customHeight="1" s="78">
      <c r="A51" s="156" t="inlineStr">
        <is>
          <t>8. 2F 전열공사</t>
        </is>
      </c>
      <c r="B51" s="174" t="n"/>
      <c r="C51" s="174" t="n"/>
      <c r="D51" s="174" t="n"/>
      <c r="E51" s="174" t="n"/>
      <c r="F51" s="174" t="n"/>
      <c r="G51" s="174" t="n"/>
      <c r="H51" s="174" t="n"/>
      <c r="I51" s="175" t="n"/>
    </row>
    <row r="52">
      <c r="A52" s="149" t="inlineStr">
        <is>
          <t>2F 전열공사</t>
        </is>
      </c>
      <c r="B52" s="148" t="inlineStr">
        <is>
          <t>MAT</t>
        </is>
      </c>
      <c r="C52" s="149" t="inlineStr">
        <is>
          <t>HFIX 내열비닐</t>
        </is>
      </c>
      <c r="D52" s="149" t="inlineStr">
        <is>
          <t>4㎟ 3C</t>
        </is>
      </c>
      <c r="E52" s="148" t="inlineStr">
        <is>
          <t>m</t>
        </is>
      </c>
      <c r="F52" s="160" t="n">
        <v>93.59999999999999</v>
      </c>
      <c r="G52" s="173" t="inlineStr"/>
      <c r="H52" s="173" t="inlineStr"/>
      <c r="I52" s="173" t="inlineStr"/>
    </row>
    <row r="53">
      <c r="A53" s="149" t="inlineStr">
        <is>
          <t>2F 전열공사</t>
        </is>
      </c>
      <c r="B53" s="148" t="inlineStr">
        <is>
          <t>MAT</t>
        </is>
      </c>
      <c r="C53" s="149" t="inlineStr">
        <is>
          <t>강제전선관 (ST)</t>
        </is>
      </c>
      <c r="D53" s="149" t="inlineStr">
        <is>
          <t>22mm</t>
        </is>
      </c>
      <c r="E53" s="148" t="inlineStr">
        <is>
          <t>m</t>
        </is>
      </c>
      <c r="F53" s="160" t="n">
        <v>31.2</v>
      </c>
      <c r="G53" s="173" t="inlineStr"/>
      <c r="H53" s="173" t="inlineStr"/>
      <c r="I53" s="173" t="inlineStr"/>
    </row>
    <row r="54">
      <c r="A54" s="149" t="inlineStr">
        <is>
          <t>2F 전열공사</t>
        </is>
      </c>
      <c r="B54" s="148" t="inlineStr">
        <is>
          <t>SUP</t>
        </is>
      </c>
      <c r="C54" s="149" t="inlineStr">
        <is>
          <t>유크램프</t>
        </is>
      </c>
      <c r="D54" s="149" t="inlineStr">
        <is>
          <t>공용</t>
        </is>
      </c>
      <c r="E54" s="148" t="inlineStr">
        <is>
          <t>EA</t>
        </is>
      </c>
      <c r="F54" s="171" t="n">
        <v>21</v>
      </c>
      <c r="G54" s="173" t="inlineStr"/>
      <c r="H54" s="173" t="inlineStr"/>
      <c r="I54" s="173" t="inlineStr"/>
    </row>
    <row r="55">
      <c r="A55" s="149" t="inlineStr">
        <is>
          <t>2F 전열공사</t>
        </is>
      </c>
      <c r="B55" s="148" t="inlineStr">
        <is>
          <t>SUP</t>
        </is>
      </c>
      <c r="C55" s="149" t="inlineStr">
        <is>
          <t>전산볼트 M10 × 1m</t>
        </is>
      </c>
      <c r="D55" s="149" t="inlineStr">
        <is>
          <t>M10</t>
        </is>
      </c>
      <c r="E55" s="148" t="inlineStr">
        <is>
          <t>EA</t>
        </is>
      </c>
      <c r="F55" s="171" t="n">
        <v>21</v>
      </c>
      <c r="G55" s="173" t="inlineStr"/>
      <c r="H55" s="173" t="inlineStr"/>
      <c r="I55" s="173" t="inlineStr"/>
    </row>
    <row r="56" ht="14.25" customHeight="1" s="78">
      <c r="A56" s="156" t="inlineStr">
        <is>
          <t>9. 2F 조명공사</t>
        </is>
      </c>
      <c r="B56" s="174" t="n"/>
      <c r="C56" s="174" t="n"/>
      <c r="D56" s="174" t="n"/>
      <c r="E56" s="174" t="n"/>
      <c r="F56" s="174" t="n"/>
      <c r="G56" s="174" t="n"/>
      <c r="H56" s="174" t="n"/>
      <c r="I56" s="175" t="n"/>
    </row>
    <row r="57">
      <c r="A57" s="149" t="inlineStr">
        <is>
          <t>2F 조명공사</t>
        </is>
      </c>
      <c r="B57" s="148" t="inlineStr">
        <is>
          <t>MAT</t>
        </is>
      </c>
      <c r="C57" s="149" t="inlineStr">
        <is>
          <t>HFIX 내열비닐</t>
        </is>
      </c>
      <c r="D57" s="149" t="inlineStr">
        <is>
          <t>2.5㎟ 3C</t>
        </is>
      </c>
      <c r="E57" s="148" t="inlineStr">
        <is>
          <t>m</t>
        </is>
      </c>
      <c r="F57" s="160" t="n">
        <v>323.7</v>
      </c>
      <c r="G57" s="173" t="inlineStr"/>
      <c r="H57" s="173" t="inlineStr"/>
      <c r="I57" s="173" t="inlineStr"/>
    </row>
    <row r="58">
      <c r="A58" s="149" t="inlineStr">
        <is>
          <t>2F 조명공사</t>
        </is>
      </c>
      <c r="B58" s="148" t="inlineStr">
        <is>
          <t>MAT</t>
        </is>
      </c>
      <c r="C58" s="149" t="inlineStr">
        <is>
          <t>강제전선관 (ST)</t>
        </is>
      </c>
      <c r="D58" s="149" t="inlineStr">
        <is>
          <t>16mm</t>
        </is>
      </c>
      <c r="E58" s="148" t="inlineStr">
        <is>
          <t>m</t>
        </is>
      </c>
      <c r="F58" s="160" t="n">
        <v>107.9</v>
      </c>
      <c r="G58" s="173" t="inlineStr"/>
      <c r="H58" s="173" t="inlineStr"/>
      <c r="I58" s="173" t="inlineStr"/>
    </row>
    <row r="59">
      <c r="A59" s="149" t="inlineStr">
        <is>
          <t>2F 조명공사</t>
        </is>
      </c>
      <c r="B59" s="148" t="inlineStr">
        <is>
          <t>SUP</t>
        </is>
      </c>
      <c r="C59" s="149" t="inlineStr">
        <is>
          <t>유크램프</t>
        </is>
      </c>
      <c r="D59" s="149" t="inlineStr">
        <is>
          <t>공용</t>
        </is>
      </c>
      <c r="E59" s="148" t="inlineStr">
        <is>
          <t>EA</t>
        </is>
      </c>
      <c r="F59" s="171" t="n">
        <v>72</v>
      </c>
      <c r="G59" s="173" t="inlineStr"/>
      <c r="H59" s="173" t="inlineStr"/>
      <c r="I59" s="173" t="inlineStr"/>
    </row>
    <row r="60">
      <c r="A60" s="149" t="inlineStr">
        <is>
          <t>2F 조명공사</t>
        </is>
      </c>
      <c r="B60" s="148" t="inlineStr">
        <is>
          <t>SUP</t>
        </is>
      </c>
      <c r="C60" s="149" t="inlineStr">
        <is>
          <t>전산볼트 M10 × 1m</t>
        </is>
      </c>
      <c r="D60" s="149" t="inlineStr">
        <is>
          <t>M10</t>
        </is>
      </c>
      <c r="E60" s="148" t="inlineStr">
        <is>
          <t>EA</t>
        </is>
      </c>
      <c r="F60" s="171" t="n">
        <v>72</v>
      </c>
      <c r="G60" s="173" t="inlineStr"/>
      <c r="H60" s="173" t="inlineStr"/>
      <c r="I60" s="173" t="inlineStr"/>
    </row>
    <row r="61" ht="14.25" customHeight="1" s="78">
      <c r="A61" s="156" t="inlineStr">
        <is>
          <t>10. B1F 전열·조명공사</t>
        </is>
      </c>
      <c r="B61" s="174" t="n"/>
      <c r="C61" s="174" t="n"/>
      <c r="D61" s="174" t="n"/>
      <c r="E61" s="174" t="n"/>
      <c r="F61" s="174" t="n"/>
      <c r="G61" s="174" t="n"/>
      <c r="H61" s="174" t="n"/>
      <c r="I61" s="175" t="n"/>
    </row>
    <row r="62">
      <c r="A62" s="149" t="inlineStr">
        <is>
          <t>B1F 전열·조명공사</t>
        </is>
      </c>
      <c r="B62" s="148" t="inlineStr">
        <is>
          <t>MAT</t>
        </is>
      </c>
      <c r="C62" s="149" t="inlineStr">
        <is>
          <t>HFIX 내열비닐</t>
        </is>
      </c>
      <c r="D62" s="149" t="inlineStr">
        <is>
          <t>4㎟ 3C</t>
        </is>
      </c>
      <c r="E62" s="148" t="inlineStr">
        <is>
          <t>m</t>
        </is>
      </c>
      <c r="F62" s="160" t="n">
        <v>354.9</v>
      </c>
      <c r="G62" s="173" t="inlineStr"/>
      <c r="H62" s="173" t="inlineStr"/>
      <c r="I62" s="173" t="inlineStr"/>
    </row>
    <row r="63">
      <c r="A63" s="149" t="inlineStr">
        <is>
          <t>B1F 전열·조명공사</t>
        </is>
      </c>
      <c r="B63" s="148" t="inlineStr">
        <is>
          <t>MAT</t>
        </is>
      </c>
      <c r="C63" s="149" t="inlineStr">
        <is>
          <t>HFIX 내열비닐</t>
        </is>
      </c>
      <c r="D63" s="149" t="inlineStr">
        <is>
          <t>2.5㎟ 3C</t>
        </is>
      </c>
      <c r="E63" s="148" t="inlineStr">
        <is>
          <t>m</t>
        </is>
      </c>
      <c r="F63" s="160" t="n">
        <v>362.7</v>
      </c>
      <c r="G63" s="173" t="inlineStr"/>
      <c r="H63" s="173" t="inlineStr"/>
      <c r="I63" s="173" t="inlineStr"/>
    </row>
    <row r="64">
      <c r="A64" s="149" t="inlineStr">
        <is>
          <t>B1F 전열·조명공사</t>
        </is>
      </c>
      <c r="B64" s="148" t="inlineStr">
        <is>
          <t>MAT</t>
        </is>
      </c>
      <c r="C64" s="149" t="inlineStr">
        <is>
          <t>강제전선관 (ST)</t>
        </is>
      </c>
      <c r="D64" s="149" t="inlineStr">
        <is>
          <t>22mm</t>
        </is>
      </c>
      <c r="E64" s="148" t="inlineStr">
        <is>
          <t>m</t>
        </is>
      </c>
      <c r="F64" s="160" t="n">
        <v>118.3</v>
      </c>
      <c r="G64" s="173" t="inlineStr"/>
      <c r="H64" s="173" t="inlineStr"/>
      <c r="I64" s="173" t="inlineStr"/>
    </row>
    <row r="65">
      <c r="A65" s="149" t="inlineStr">
        <is>
          <t>B1F 전열·조명공사</t>
        </is>
      </c>
      <c r="B65" s="148" t="inlineStr">
        <is>
          <t>MAT</t>
        </is>
      </c>
      <c r="C65" s="149" t="inlineStr">
        <is>
          <t>강제전선관 (ST)</t>
        </is>
      </c>
      <c r="D65" s="149" t="inlineStr">
        <is>
          <t>16mm</t>
        </is>
      </c>
      <c r="E65" s="148" t="inlineStr">
        <is>
          <t>m</t>
        </is>
      </c>
      <c r="F65" s="160" t="n">
        <v>120.9</v>
      </c>
      <c r="G65" s="173" t="inlineStr"/>
      <c r="H65" s="173" t="inlineStr"/>
      <c r="I65" s="173" t="inlineStr"/>
    </row>
    <row r="66">
      <c r="A66" s="149" t="inlineStr">
        <is>
          <t>B1F 전열·조명공사</t>
        </is>
      </c>
      <c r="B66" s="148" t="inlineStr">
        <is>
          <t>SUP</t>
        </is>
      </c>
      <c r="C66" s="149" t="inlineStr">
        <is>
          <t>유크램프</t>
        </is>
      </c>
      <c r="D66" s="149" t="inlineStr">
        <is>
          <t>공용</t>
        </is>
      </c>
      <c r="E66" s="148" t="inlineStr">
        <is>
          <t>EA</t>
        </is>
      </c>
      <c r="F66" s="171" t="n">
        <v>160</v>
      </c>
      <c r="G66" s="173" t="inlineStr"/>
      <c r="H66" s="173" t="inlineStr"/>
      <c r="I66" s="173" t="inlineStr"/>
    </row>
    <row r="67">
      <c r="A67" s="149" t="inlineStr">
        <is>
          <t>B1F 전열·조명공사</t>
        </is>
      </c>
      <c r="B67" s="148" t="inlineStr">
        <is>
          <t>SUP</t>
        </is>
      </c>
      <c r="C67" s="149" t="inlineStr">
        <is>
          <t>전산볼트 M10 × 1m</t>
        </is>
      </c>
      <c r="D67" s="149" t="inlineStr">
        <is>
          <t>M10</t>
        </is>
      </c>
      <c r="E67" s="148" t="inlineStr">
        <is>
          <t>EA</t>
        </is>
      </c>
      <c r="F67" s="171" t="n">
        <v>160</v>
      </c>
      <c r="G67" s="173" t="inlineStr"/>
      <c r="H67" s="173" t="inlineStr"/>
      <c r="I67" s="173" t="inlineStr"/>
    </row>
    <row r="68" ht="14.25" customHeight="1" s="78">
      <c r="A68" s="156" t="inlineStr">
        <is>
          <t>11. B1F 온수기공사</t>
        </is>
      </c>
      <c r="B68" s="174" t="n"/>
      <c r="C68" s="174" t="n"/>
      <c r="D68" s="174" t="n"/>
      <c r="E68" s="174" t="n"/>
      <c r="F68" s="174" t="n"/>
      <c r="G68" s="174" t="n"/>
      <c r="H68" s="174" t="n"/>
      <c r="I68" s="175" t="n"/>
    </row>
    <row r="69">
      <c r="A69" s="149" t="inlineStr">
        <is>
          <t>B1F 온수기공사</t>
        </is>
      </c>
      <c r="B69" s="148" t="inlineStr">
        <is>
          <t>MAT</t>
        </is>
      </c>
      <c r="C69" s="149" t="inlineStr">
        <is>
          <t>HFIX 내열비닐</t>
        </is>
      </c>
      <c r="D69" s="149" t="inlineStr">
        <is>
          <t>4㎟ 3C</t>
        </is>
      </c>
      <c r="E69" s="148" t="inlineStr">
        <is>
          <t>m</t>
        </is>
      </c>
      <c r="F69" s="160" t="n">
        <v>78</v>
      </c>
      <c r="G69" s="173" t="inlineStr"/>
      <c r="H69" s="173" t="inlineStr"/>
      <c r="I69" s="173" t="inlineStr"/>
    </row>
    <row r="70">
      <c r="A70" s="149" t="inlineStr">
        <is>
          <t>B1F 온수기공사</t>
        </is>
      </c>
      <c r="B70" s="148" t="inlineStr">
        <is>
          <t>MAT</t>
        </is>
      </c>
      <c r="C70" s="149" t="inlineStr">
        <is>
          <t>강제전선관 (ST)</t>
        </is>
      </c>
      <c r="D70" s="149" t="inlineStr">
        <is>
          <t>22mm</t>
        </is>
      </c>
      <c r="E70" s="148" t="inlineStr">
        <is>
          <t>m</t>
        </is>
      </c>
      <c r="F70" s="160" t="n">
        <v>26</v>
      </c>
      <c r="G70" s="173" t="inlineStr"/>
      <c r="H70" s="173" t="inlineStr"/>
      <c r="I70" s="173" t="inlineStr"/>
    </row>
    <row r="71">
      <c r="A71" s="149" t="inlineStr">
        <is>
          <t>B1F 온수기공사</t>
        </is>
      </c>
      <c r="B71" s="148" t="inlineStr">
        <is>
          <t>SUP</t>
        </is>
      </c>
      <c r="C71" s="149" t="inlineStr">
        <is>
          <t>유크램프</t>
        </is>
      </c>
      <c r="D71" s="149" t="inlineStr">
        <is>
          <t>공용</t>
        </is>
      </c>
      <c r="E71" s="148" t="inlineStr">
        <is>
          <t>EA</t>
        </is>
      </c>
      <c r="F71" s="171" t="n">
        <v>18</v>
      </c>
      <c r="G71" s="173" t="inlineStr"/>
      <c r="H71" s="173" t="inlineStr"/>
      <c r="I71" s="173" t="inlineStr"/>
    </row>
    <row r="72">
      <c r="A72" s="149" t="inlineStr">
        <is>
          <t>B1F 온수기공사</t>
        </is>
      </c>
      <c r="B72" s="148" t="inlineStr">
        <is>
          <t>SUP</t>
        </is>
      </c>
      <c r="C72" s="149" t="inlineStr">
        <is>
          <t>전산볼트 M10 × 1m</t>
        </is>
      </c>
      <c r="D72" s="149" t="inlineStr">
        <is>
          <t>M10</t>
        </is>
      </c>
      <c r="E72" s="148" t="inlineStr">
        <is>
          <t>EA</t>
        </is>
      </c>
      <c r="F72" s="171" t="n">
        <v>18</v>
      </c>
      <c r="G72" s="173" t="inlineStr"/>
      <c r="H72" s="173" t="inlineStr"/>
      <c r="I72" s="173" t="inlineStr"/>
    </row>
  </sheetData>
  <mergeCells count="11">
    <mergeCell ref="A19:I19"/>
    <mergeCell ref="A11:I11"/>
    <mergeCell ref="A68:I68"/>
    <mergeCell ref="A2:I2"/>
    <mergeCell ref="A51:I51"/>
    <mergeCell ref="A46:I46"/>
    <mergeCell ref="A56:I56"/>
    <mergeCell ref="A31:I31"/>
    <mergeCell ref="A61:I61"/>
    <mergeCell ref="A26:I26"/>
    <mergeCell ref="A38:I38"/>
  </mergeCells>
  <dataValidations count="1">
    <dataValidation sqref="G2:G72" showDropDown="0" showInputMessage="0" showErrorMessage="0" allowBlank="1" type="list">
      <formula1>"P1(착공전),P2(골조),P3(배관),P4(배선),P5(준공전)"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78" min="1" max="1"/>
    <col width="28" customWidth="1" style="78" min="2" max="2"/>
    <col width="18" customWidth="1" style="78" min="3" max="3"/>
    <col width="6" customWidth="1" style="78" min="4" max="4"/>
    <col width="12" customWidth="1" style="78" min="5" max="5"/>
    <col width="12" customWidth="1" style="78" min="6" max="6"/>
    <col width="12" customWidth="1" style="78" min="7" max="7"/>
    <col width="10" customWidth="1" style="78" min="8" max="8"/>
    <col width="10" customWidth="1" style="78" min="9" max="9"/>
    <col width="30" customWidth="1" style="78" min="10" max="10"/>
  </cols>
  <sheetData>
    <row r="1">
      <c r="A1" s="176" t="inlineStr">
        <is>
          <t>[ 사람(정원전기) vs AI 산출 비교 — 파이브가이즈 7호점 ]</t>
        </is>
      </c>
    </row>
    <row r="2">
      <c r="A2" s="155" t="inlineStr">
        <is>
          <t>#</t>
        </is>
      </c>
      <c r="B2" s="155" t="inlineStr">
        <is>
          <t>품목</t>
        </is>
      </c>
      <c r="C2" s="155" t="inlineStr">
        <is>
          <t>규격</t>
        </is>
      </c>
      <c r="D2" s="155" t="inlineStr">
        <is>
          <t>단위</t>
        </is>
      </c>
      <c r="E2" s="155" t="inlineStr">
        <is>
          <t>사람(정원전기)</t>
        </is>
      </c>
      <c r="F2" s="155" t="inlineStr">
        <is>
          <t>AI(전팀장)</t>
        </is>
      </c>
      <c r="G2" s="155" t="inlineStr">
        <is>
          <t>편차</t>
        </is>
      </c>
      <c r="H2" s="155" t="inlineStr">
        <is>
          <t>편차율</t>
        </is>
      </c>
      <c r="I2" s="155" t="inlineStr">
        <is>
          <t>판정</t>
        </is>
      </c>
      <c r="J2" s="155" t="inlineStr">
        <is>
          <t>원인·비고</t>
        </is>
      </c>
    </row>
    <row r="3">
      <c r="A3" s="156" t="inlineStr">
        <is>
          <t>[배관]</t>
        </is>
      </c>
      <c r="B3" s="174" t="n"/>
      <c r="C3" s="174" t="n"/>
      <c r="D3" s="174" t="n"/>
      <c r="E3" s="174" t="n"/>
      <c r="F3" s="174" t="n"/>
      <c r="G3" s="174" t="n"/>
      <c r="H3" s="174" t="n"/>
      <c r="I3" s="174" t="n"/>
      <c r="J3" s="175" t="n"/>
    </row>
    <row r="4">
      <c r="A4" s="177" t="n">
        <v>1</v>
      </c>
      <c r="B4" s="178" t="inlineStr">
        <is>
          <t>강제전선관 ST</t>
        </is>
      </c>
      <c r="C4" s="178" t="inlineStr">
        <is>
          <t>16mm</t>
        </is>
      </c>
      <c r="D4" s="177" t="inlineStr">
        <is>
          <t>m</t>
        </is>
      </c>
      <c r="E4" s="179" t="n">
        <v>1135</v>
      </c>
      <c r="F4" s="179" t="n">
        <v>427.7</v>
      </c>
      <c r="G4" s="179" t="n">
        <v>-707.3</v>
      </c>
      <c r="H4" s="177" t="inlineStr">
        <is>
          <t>38%</t>
        </is>
      </c>
      <c r="I4" s="177" t="inlineStr">
        <is>
          <t>🔴 과소</t>
        </is>
      </c>
      <c r="J4" s="178" t="inlineStr">
        <is>
          <t>스케일 역산 시 수평거리 과소 · 실제 조명 회로 경로 길이 부족</t>
        </is>
      </c>
    </row>
    <row r="5">
      <c r="A5" s="177" t="n">
        <v>2</v>
      </c>
      <c r="B5" s="178" t="inlineStr">
        <is>
          <t>강제전선관 ST</t>
        </is>
      </c>
      <c r="C5" s="178" t="inlineStr">
        <is>
          <t>22mm</t>
        </is>
      </c>
      <c r="D5" s="177" t="inlineStr">
        <is>
          <t>m</t>
        </is>
      </c>
      <c r="E5" s="179" t="n">
        <v>1728</v>
      </c>
      <c r="F5" s="179" t="n">
        <v>730.6</v>
      </c>
      <c r="G5" s="179" t="n">
        <v>-997.4</v>
      </c>
      <c r="H5" s="177" t="inlineStr">
        <is>
          <t>42%</t>
        </is>
      </c>
      <c r="I5" s="177" t="inlineStr">
        <is>
          <t>🔴 과소</t>
        </is>
      </c>
      <c r="J5" s="178" t="inlineStr">
        <is>
          <t>동일 원인 · 전열·동력 회로 경로 부족 (42%만 계상)</t>
        </is>
      </c>
    </row>
    <row r="6">
      <c r="A6" s="177" t="n">
        <v>3</v>
      </c>
      <c r="B6" s="178" t="inlineStr">
        <is>
          <t>강제전선관 ST</t>
        </is>
      </c>
      <c r="C6" s="178" t="inlineStr">
        <is>
          <t>28mm</t>
        </is>
      </c>
      <c r="D6" s="177" t="inlineStr">
        <is>
          <t>m</t>
        </is>
      </c>
      <c r="E6" s="179" t="n">
        <v>148</v>
      </c>
      <c r="F6" s="179" t="n">
        <v>282.3</v>
      </c>
      <c r="G6" s="179" t="n">
        <v>134.3</v>
      </c>
      <c r="H6" s="177" t="inlineStr">
        <is>
          <t>191%</t>
        </is>
      </c>
      <c r="I6" s="177" t="inlineStr">
        <is>
          <t>🔴 과다</t>
        </is>
      </c>
      <c r="J6" s="178" t="inlineStr">
        <is>
          <t>AI 과다 — 간선 28mm 오판 (54mm로 계상해야 할 것을 28로)</t>
        </is>
      </c>
    </row>
    <row r="7">
      <c r="A7" s="180" t="n">
        <v>4</v>
      </c>
      <c r="B7" s="173" t="inlineStr">
        <is>
          <t>강제전선관 ST</t>
        </is>
      </c>
      <c r="C7" s="173" t="inlineStr">
        <is>
          <t>36mm</t>
        </is>
      </c>
      <c r="D7" s="180" t="inlineStr">
        <is>
          <t>m</t>
        </is>
      </c>
      <c r="E7" s="181" t="n">
        <v>141</v>
      </c>
      <c r="F7" s="181" t="n">
        <v>89.7</v>
      </c>
      <c r="G7" s="181" t="n">
        <v>-51.3</v>
      </c>
      <c r="H7" s="180" t="inlineStr">
        <is>
          <t>64%</t>
        </is>
      </c>
      <c r="I7" s="180" t="inlineStr">
        <is>
          <t>🟡 미달</t>
        </is>
      </c>
      <c r="J7" s="173" t="inlineStr">
        <is>
          <t>일부 계상 (K17/K18 등)</t>
        </is>
      </c>
    </row>
    <row r="8">
      <c r="A8" s="177" t="n">
        <v>5</v>
      </c>
      <c r="B8" s="178" t="inlineStr">
        <is>
          <t>강제전선관 ST</t>
        </is>
      </c>
      <c r="C8" s="178" t="inlineStr">
        <is>
          <t>54mm</t>
        </is>
      </c>
      <c r="D8" s="177" t="inlineStr">
        <is>
          <t>m</t>
        </is>
      </c>
      <c r="E8" s="179" t="n">
        <v>72</v>
      </c>
      <c r="F8" s="179" t="n">
        <v>0</v>
      </c>
      <c r="G8" s="179" t="n">
        <v>-72</v>
      </c>
      <c r="H8" s="177" t="inlineStr">
        <is>
          <t>0%</t>
        </is>
      </c>
      <c r="I8" s="177" t="inlineStr">
        <is>
          <t>🔴 누락</t>
        </is>
      </c>
      <c r="J8" s="178" t="inlineStr">
        <is>
          <t>🔴 간선 규격 판별 실패 — F-CV 25㎟는 ST54에 수납</t>
        </is>
      </c>
    </row>
    <row r="9">
      <c r="A9" s="177" t="n">
        <v>6</v>
      </c>
      <c r="B9" s="178" t="inlineStr">
        <is>
          <t>강제전선관 ST</t>
        </is>
      </c>
      <c r="C9" s="178" t="inlineStr">
        <is>
          <t>82mm</t>
        </is>
      </c>
      <c r="D9" s="177" t="inlineStr">
        <is>
          <t>m</t>
        </is>
      </c>
      <c r="E9" s="179" t="n">
        <v>77</v>
      </c>
      <c r="F9" s="179" t="n">
        <v>0</v>
      </c>
      <c r="G9" s="179" t="n">
        <v>-77</v>
      </c>
      <c r="H9" s="177" t="inlineStr">
        <is>
          <t>0%</t>
        </is>
      </c>
      <c r="I9" s="177" t="inlineStr">
        <is>
          <t>🔴 누락</t>
        </is>
      </c>
      <c r="J9" s="178" t="inlineStr">
        <is>
          <t>🔴 간선 규격 판별 실패 — F-CV 95㎟ 간선은 ST82가 표준</t>
        </is>
      </c>
    </row>
    <row r="10">
      <c r="A10" s="177" t="n">
        <v>7</v>
      </c>
      <c r="B10" s="178" t="inlineStr">
        <is>
          <t>1종가요전선관</t>
        </is>
      </c>
      <c r="C10" s="178" t="inlineStr">
        <is>
          <t>16~54mm</t>
        </is>
      </c>
      <c r="D10" s="177" t="inlineStr">
        <is>
          <t>m</t>
        </is>
      </c>
      <c r="E10" s="179" t="n">
        <v>934</v>
      </c>
      <c r="F10" s="179" t="n">
        <v>0</v>
      </c>
      <c r="G10" s="179" t="n">
        <v>-934</v>
      </c>
      <c r="H10" s="177" t="inlineStr">
        <is>
          <t>0%</t>
        </is>
      </c>
      <c r="I10" s="177" t="inlineStr">
        <is>
          <t>🔴 누락</t>
        </is>
      </c>
      <c r="J10" s="178" t="inlineStr">
        <is>
          <t>🔴 가요전선관(플렉시블) 개념 전면 누락 · 노출 661m + 방수 273m</t>
        </is>
      </c>
    </row>
    <row r="11">
      <c r="A11" s="156" t="inlineStr">
        <is>
          <t>[전선]</t>
        </is>
      </c>
      <c r="B11" s="174" t="n"/>
      <c r="C11" s="174" t="n"/>
      <c r="D11" s="174" t="n"/>
      <c r="E11" s="174" t="n"/>
      <c r="F11" s="174" t="n"/>
      <c r="G11" s="174" t="n"/>
      <c r="H11" s="174" t="n"/>
      <c r="I11" s="174" t="n"/>
      <c r="J11" s="175" t="n"/>
    </row>
    <row r="12">
      <c r="A12" s="177" t="n">
        <v>8</v>
      </c>
      <c r="B12" s="178" t="inlineStr">
        <is>
          <t>HFIX</t>
        </is>
      </c>
      <c r="C12" s="178" t="inlineStr">
        <is>
          <t>1.5㎟</t>
        </is>
      </c>
      <c r="D12" s="177" t="inlineStr">
        <is>
          <t>m</t>
        </is>
      </c>
      <c r="E12" s="179" t="n">
        <v>1206</v>
      </c>
      <c r="F12" s="179" t="n">
        <v>0</v>
      </c>
      <c r="G12" s="179" t="n">
        <v>-1206</v>
      </c>
      <c r="H12" s="177" t="inlineStr">
        <is>
          <t>0%</t>
        </is>
      </c>
      <c r="I12" s="177" t="inlineStr">
        <is>
          <t>🔴 누락</t>
        </is>
      </c>
      <c r="J12" s="178" t="inlineStr">
        <is>
          <t>🔴 디밍신호·소방신호선 전면 누락 (F1/DC1/SP 회로는 계상했지만 1.5㎟로 미반영)</t>
        </is>
      </c>
    </row>
    <row r="13">
      <c r="A13" s="167" t="n">
        <v>9</v>
      </c>
      <c r="B13" s="168" t="inlineStr">
        <is>
          <t>HFIX</t>
        </is>
      </c>
      <c r="C13" s="168" t="inlineStr">
        <is>
          <t>2.5㎟</t>
        </is>
      </c>
      <c r="D13" s="167" t="inlineStr">
        <is>
          <t>m</t>
        </is>
      </c>
      <c r="E13" s="182" t="n">
        <v>1128</v>
      </c>
      <c r="F13" s="182" t="n">
        <v>1283.1</v>
      </c>
      <c r="G13" s="182" t="n">
        <v>155.0999999999999</v>
      </c>
      <c r="H13" s="167" t="inlineStr">
        <is>
          <t>114%</t>
        </is>
      </c>
      <c r="I13" s="167" t="inlineStr">
        <is>
          <t>✅</t>
        </is>
      </c>
      <c r="J13" s="168" t="inlineStr">
        <is>
          <t>✅ 근접 (+14%)</t>
        </is>
      </c>
    </row>
    <row r="14">
      <c r="A14" s="177" t="n">
        <v>10</v>
      </c>
      <c r="B14" s="178" t="inlineStr">
        <is>
          <t>HFIX</t>
        </is>
      </c>
      <c r="C14" s="178" t="inlineStr">
        <is>
          <t>4㎟</t>
        </is>
      </c>
      <c r="D14" s="177" t="inlineStr">
        <is>
          <t>m</t>
        </is>
      </c>
      <c r="E14" s="179" t="n">
        <v>5166</v>
      </c>
      <c r="F14" s="179" t="n">
        <v>1345.5</v>
      </c>
      <c r="G14" s="179" t="n">
        <v>-3820.5</v>
      </c>
      <c r="H14" s="177" t="inlineStr">
        <is>
          <t>26%</t>
        </is>
      </c>
      <c r="I14" s="177" t="inlineStr">
        <is>
          <t>🔴 과소</t>
        </is>
      </c>
      <c r="J14" s="178" t="inlineStr">
        <is>
          <t>🔴 수직거리 역산 오류 — 1층 천장 H≈3.5m인데 AI는 여유 없이 계산</t>
        </is>
      </c>
    </row>
    <row r="15">
      <c r="A15" s="177" t="n">
        <v>11</v>
      </c>
      <c r="B15" s="178" t="inlineStr">
        <is>
          <t>F-CV</t>
        </is>
      </c>
      <c r="C15" s="178" t="inlineStr">
        <is>
          <t>4C×4㎟</t>
        </is>
      </c>
      <c r="D15" s="177" t="inlineStr">
        <is>
          <t>m</t>
        </is>
      </c>
      <c r="E15" s="179" t="n">
        <v>49</v>
      </c>
      <c r="F15" s="179" t="n">
        <v>0</v>
      </c>
      <c r="G15" s="179" t="n">
        <v>-49</v>
      </c>
      <c r="H15" s="177" t="inlineStr">
        <is>
          <t>0%</t>
        </is>
      </c>
      <c r="I15" s="177" t="inlineStr">
        <is>
          <t>🔴 누락</t>
        </is>
      </c>
      <c r="J15" s="178" t="inlineStr">
        <is>
          <t>🟡 주방기기 분리계상 오류</t>
        </is>
      </c>
    </row>
    <row r="16">
      <c r="A16" s="177" t="n">
        <v>12</v>
      </c>
      <c r="B16" s="178" t="inlineStr">
        <is>
          <t>F-CV</t>
        </is>
      </c>
      <c r="C16" s="178" t="inlineStr">
        <is>
          <t>4C×6㎟</t>
        </is>
      </c>
      <c r="D16" s="177" t="inlineStr">
        <is>
          <t>m</t>
        </is>
      </c>
      <c r="E16" s="179" t="n">
        <v>45</v>
      </c>
      <c r="F16" s="179" t="n">
        <v>228</v>
      </c>
      <c r="G16" s="179" t="n">
        <v>183</v>
      </c>
      <c r="H16" s="177" t="inlineStr">
        <is>
          <t>507%</t>
        </is>
      </c>
      <c r="I16" s="177" t="inlineStr">
        <is>
          <t>🔴 과다</t>
        </is>
      </c>
      <c r="J16" s="178" t="inlineStr">
        <is>
          <t>AI 과다 — 6㎟는 냉난방/온수기만 해당</t>
        </is>
      </c>
    </row>
    <row r="17">
      <c r="A17" s="177" t="n">
        <v>13</v>
      </c>
      <c r="B17" s="178" t="inlineStr">
        <is>
          <t>F-CV</t>
        </is>
      </c>
      <c r="C17" s="178" t="inlineStr">
        <is>
          <t>4C×10㎟</t>
        </is>
      </c>
      <c r="D17" s="177" t="inlineStr">
        <is>
          <t>m</t>
        </is>
      </c>
      <c r="E17" s="179" t="n">
        <v>147</v>
      </c>
      <c r="F17" s="179" t="n">
        <v>10</v>
      </c>
      <c r="G17" s="179" t="n">
        <v>-137</v>
      </c>
      <c r="H17" s="177" t="inlineStr">
        <is>
          <t>7%</t>
        </is>
      </c>
      <c r="I17" s="177" t="inlineStr">
        <is>
          <t>🔴 과소</t>
        </is>
      </c>
      <c r="J17" s="178" t="inlineStr">
        <is>
          <t>🔴 수량 거의 미계상</t>
        </is>
      </c>
    </row>
    <row r="18">
      <c r="A18" s="177" t="n">
        <v>14</v>
      </c>
      <c r="B18" s="178" t="inlineStr">
        <is>
          <t>F-CV</t>
        </is>
      </c>
      <c r="C18" s="178" t="inlineStr">
        <is>
          <t>1C×25㎟</t>
        </is>
      </c>
      <c r="D18" s="177" t="inlineStr">
        <is>
          <t>m</t>
        </is>
      </c>
      <c r="E18" s="179" t="n">
        <v>294</v>
      </c>
      <c r="F18" s="179" t="n">
        <v>153.5</v>
      </c>
      <c r="G18" s="179" t="n">
        <v>-140.5</v>
      </c>
      <c r="H18" s="177" t="inlineStr">
        <is>
          <t>52%</t>
        </is>
      </c>
      <c r="I18" s="177" t="inlineStr">
        <is>
          <t>🔴 과소</t>
        </is>
      </c>
      <c r="J18" s="178" t="inlineStr">
        <is>
          <t>🟡 52% — 1C 단심 분리 필요</t>
        </is>
      </c>
    </row>
    <row r="19">
      <c r="A19" s="180" t="n">
        <v>15</v>
      </c>
      <c r="B19" s="173" t="inlineStr">
        <is>
          <t>F-CV</t>
        </is>
      </c>
      <c r="C19" s="173" t="inlineStr">
        <is>
          <t>1C×95㎟</t>
        </is>
      </c>
      <c r="D19" s="180" t="inlineStr">
        <is>
          <t>m</t>
        </is>
      </c>
      <c r="E19" s="181" t="n">
        <v>315</v>
      </c>
      <c r="F19" s="181" t="n">
        <v>194.5</v>
      </c>
      <c r="G19" s="181" t="n">
        <v>-120.5</v>
      </c>
      <c r="H19" s="180" t="inlineStr">
        <is>
          <t>62%</t>
        </is>
      </c>
      <c r="I19" s="180" t="inlineStr">
        <is>
          <t>🟡 미달</t>
        </is>
      </c>
      <c r="J19" s="173" t="inlineStr">
        <is>
          <t>🟡 62% — 1C×4가닥으로 계산해야 315m</t>
        </is>
      </c>
    </row>
    <row r="20">
      <c r="A20" s="177" t="n">
        <v>16</v>
      </c>
      <c r="B20" s="178" t="inlineStr">
        <is>
          <t>F-GV 접지</t>
        </is>
      </c>
      <c r="C20" s="178" t="inlineStr">
        <is>
          <t>4/6/10/25/50㎟</t>
        </is>
      </c>
      <c r="D20" s="177" t="inlineStr">
        <is>
          <t>m</t>
        </is>
      </c>
      <c r="E20" s="179" t="n">
        <v>990</v>
      </c>
      <c r="F20" s="179" t="n">
        <v>0</v>
      </c>
      <c r="G20" s="179" t="n">
        <v>-990</v>
      </c>
      <c r="H20" s="177" t="inlineStr">
        <is>
          <t>0%</t>
        </is>
      </c>
      <c r="I20" s="177" t="inlineStr">
        <is>
          <t>🔴 누락</t>
        </is>
      </c>
      <c r="J20" s="178" t="inlineStr">
        <is>
          <t>🔴 접지선 별도 분리계상 누락 (AI는 "+F-GV"로 묶어 표기)</t>
        </is>
      </c>
    </row>
    <row r="21">
      <c r="A21" s="177" t="n">
        <v>17</v>
      </c>
      <c r="B21" s="178" t="inlineStr">
        <is>
          <t>UTP Cat.6</t>
        </is>
      </c>
      <c r="C21" s="178" t="inlineStr">
        <is>
          <t>0.5mm 4P</t>
        </is>
      </c>
      <c r="D21" s="177" t="inlineStr">
        <is>
          <t>m</t>
        </is>
      </c>
      <c r="E21" s="179" t="n">
        <v>657</v>
      </c>
      <c r="F21" s="179" t="n">
        <v>0</v>
      </c>
      <c r="G21" s="179" t="n">
        <v>-657</v>
      </c>
      <c r="H21" s="177" t="inlineStr">
        <is>
          <t>0%</t>
        </is>
      </c>
      <c r="I21" s="177" t="inlineStr">
        <is>
          <t>🔴 누락</t>
        </is>
      </c>
      <c r="J21" s="178" t="inlineStr">
        <is>
          <t>🔴 통신공사 전면 누락</t>
        </is>
      </c>
    </row>
    <row r="22">
      <c r="A22" s="156" t="inlineStr">
        <is>
          <t>[기구 EQP]</t>
        </is>
      </c>
      <c r="B22" s="174" t="n"/>
      <c r="C22" s="174" t="n"/>
      <c r="D22" s="174" t="n"/>
      <c r="E22" s="174" t="n"/>
      <c r="F22" s="174" t="n"/>
      <c r="G22" s="174" t="n"/>
      <c r="H22" s="174" t="n"/>
      <c r="I22" s="174" t="n"/>
      <c r="J22" s="175" t="n"/>
    </row>
    <row r="23">
      <c r="A23" s="177" t="n">
        <v>18</v>
      </c>
      <c r="B23" s="178" t="inlineStr">
        <is>
          <t>조명 L-03 매입등</t>
        </is>
      </c>
      <c r="C23" s="178" t="inlineStr">
        <is>
          <t>30W 615×615</t>
        </is>
      </c>
      <c r="D23" s="177" t="inlineStr">
        <is>
          <t>개</t>
        </is>
      </c>
      <c r="E23" s="179" t="n">
        <v>89</v>
      </c>
      <c r="F23" s="179" t="n">
        <v>0</v>
      </c>
      <c r="G23" s="179" t="n">
        <v>-89</v>
      </c>
      <c r="H23" s="177" t="inlineStr">
        <is>
          <t>0%</t>
        </is>
      </c>
      <c r="I23" s="177" t="inlineStr">
        <is>
          <t>🔴 누락</t>
        </is>
      </c>
      <c r="J23" s="178" t="inlineStr">
        <is>
          <t>🔴 조명기구 수량 산출 로직 없음</t>
        </is>
      </c>
    </row>
    <row r="24">
      <c r="A24" s="177" t="n">
        <v>19</v>
      </c>
      <c r="B24" s="178" t="inlineStr">
        <is>
          <t>조명 L-02 매입등</t>
        </is>
      </c>
      <c r="C24" s="178" t="inlineStr">
        <is>
          <t>64W 1280×320</t>
        </is>
      </c>
      <c r="D24" s="177" t="inlineStr">
        <is>
          <t>개</t>
        </is>
      </c>
      <c r="E24" s="179" t="n">
        <v>20</v>
      </c>
      <c r="F24" s="179" t="n">
        <v>0</v>
      </c>
      <c r="G24" s="179" t="n">
        <v>-20</v>
      </c>
      <c r="H24" s="177" t="inlineStr">
        <is>
          <t>0%</t>
        </is>
      </c>
      <c r="I24" s="177" t="inlineStr">
        <is>
          <t>🔴 누락</t>
        </is>
      </c>
      <c r="J24" s="178" t="inlineStr">
        <is>
          <t>🔴 동일</t>
        </is>
      </c>
    </row>
    <row r="25">
      <c r="A25" s="177" t="n">
        <v>20</v>
      </c>
      <c r="B25" s="178" t="inlineStr">
        <is>
          <t>조명 L-06 다운라이트</t>
        </is>
      </c>
      <c r="C25" s="178" t="inlineStr">
        <is>
          <t>6W 4인치</t>
        </is>
      </c>
      <c r="D25" s="177" t="inlineStr">
        <is>
          <t>개</t>
        </is>
      </c>
      <c r="E25" s="179" t="n">
        <v>13</v>
      </c>
      <c r="F25" s="179" t="n">
        <v>0</v>
      </c>
      <c r="G25" s="179" t="n">
        <v>-13</v>
      </c>
      <c r="H25" s="177" t="inlineStr">
        <is>
          <t>0%</t>
        </is>
      </c>
      <c r="I25" s="177" t="inlineStr">
        <is>
          <t>🔴 누락</t>
        </is>
      </c>
      <c r="J25" s="178" t="inlineStr">
        <is>
          <t>🔴 동일</t>
        </is>
      </c>
    </row>
    <row r="26">
      <c r="A26" s="177" t="n">
        <v>21</v>
      </c>
      <c r="B26" s="178" t="inlineStr">
        <is>
          <t>조명 L-01.02 갓등</t>
        </is>
      </c>
      <c r="C26" s="178" t="inlineStr"/>
      <c r="D26" s="177" t="inlineStr">
        <is>
          <t>개</t>
        </is>
      </c>
      <c r="E26" s="179" t="n">
        <v>74</v>
      </c>
      <c r="F26" s="179" t="n">
        <v>0</v>
      </c>
      <c r="G26" s="179" t="n">
        <v>-74</v>
      </c>
      <c r="H26" s="177" t="inlineStr">
        <is>
          <t>0%</t>
        </is>
      </c>
      <c r="I26" s="177" t="inlineStr">
        <is>
          <t>🔴 누락</t>
        </is>
      </c>
      <c r="J26" s="178" t="inlineStr">
        <is>
          <t>🔴 동일</t>
        </is>
      </c>
    </row>
    <row r="27">
      <c r="A27" s="177" t="n">
        <v>22</v>
      </c>
      <c r="B27" s="178" t="inlineStr">
        <is>
          <t>LED 비상등</t>
        </is>
      </c>
      <c r="C27" s="178" t="inlineStr">
        <is>
          <t>밧테리 내장</t>
        </is>
      </c>
      <c r="D27" s="177" t="inlineStr">
        <is>
          <t>개</t>
        </is>
      </c>
      <c r="E27" s="179" t="n">
        <v>11</v>
      </c>
      <c r="F27" s="179" t="n">
        <v>0</v>
      </c>
      <c r="G27" s="179" t="n">
        <v>-11</v>
      </c>
      <c r="H27" s="177" t="inlineStr">
        <is>
          <t>0%</t>
        </is>
      </c>
      <c r="I27" s="177" t="inlineStr">
        <is>
          <t>🔴 누락</t>
        </is>
      </c>
      <c r="J27" s="178" t="inlineStr">
        <is>
          <t>🔴 동일</t>
        </is>
      </c>
    </row>
    <row r="28">
      <c r="A28" s="177" t="n">
        <v>23</v>
      </c>
      <c r="B28" s="178" t="inlineStr">
        <is>
          <t>고휘도 유도등</t>
        </is>
      </c>
      <c r="C28" s="178" t="inlineStr">
        <is>
          <t>대형 60분 단면</t>
        </is>
      </c>
      <c r="D28" s="177" t="inlineStr">
        <is>
          <t>개</t>
        </is>
      </c>
      <c r="E28" s="179" t="n">
        <v>21</v>
      </c>
      <c r="F28" s="179" t="n">
        <v>0</v>
      </c>
      <c r="G28" s="179" t="n">
        <v>-21</v>
      </c>
      <c r="H28" s="177" t="inlineStr">
        <is>
          <t>0%</t>
        </is>
      </c>
      <c r="I28" s="177" t="inlineStr">
        <is>
          <t>🔴 누락</t>
        </is>
      </c>
      <c r="J28" s="178" t="inlineStr">
        <is>
          <t>🔴 소방 공사 누락</t>
        </is>
      </c>
    </row>
    <row r="29">
      <c r="A29" s="177" t="n">
        <v>24</v>
      </c>
      <c r="B29" s="178" t="inlineStr">
        <is>
          <t>화재감지기</t>
        </is>
      </c>
      <c r="C29" s="178" t="inlineStr">
        <is>
          <t>차동식+정온식</t>
        </is>
      </c>
      <c r="D29" s="177" t="inlineStr">
        <is>
          <t>개</t>
        </is>
      </c>
      <c r="E29" s="179" t="n">
        <v>18</v>
      </c>
      <c r="F29" s="179" t="n">
        <v>0</v>
      </c>
      <c r="G29" s="179" t="n">
        <v>-18</v>
      </c>
      <c r="H29" s="177" t="inlineStr">
        <is>
          <t>0%</t>
        </is>
      </c>
      <c r="I29" s="177" t="inlineStr">
        <is>
          <t>🔴 누락</t>
        </is>
      </c>
      <c r="J29" s="178" t="inlineStr">
        <is>
          <t>🔴 자탐 공사 누락</t>
        </is>
      </c>
    </row>
    <row r="30">
      <c r="A30" s="177" t="n">
        <v>25</v>
      </c>
      <c r="B30" s="178" t="inlineStr">
        <is>
          <t>매입 콘센트</t>
        </is>
      </c>
      <c r="C30" s="178" t="inlineStr">
        <is>
          <t>1구+2구</t>
        </is>
      </c>
      <c r="D30" s="177" t="inlineStr">
        <is>
          <t>개</t>
        </is>
      </c>
      <c r="E30" s="179" t="n">
        <v>40</v>
      </c>
      <c r="F30" s="179" t="n">
        <v>0</v>
      </c>
      <c r="G30" s="179" t="n">
        <v>-40</v>
      </c>
      <c r="H30" s="177" t="inlineStr">
        <is>
          <t>0%</t>
        </is>
      </c>
      <c r="I30" s="177" t="inlineStr">
        <is>
          <t>🔴 누락</t>
        </is>
      </c>
      <c r="J30" s="178" t="inlineStr">
        <is>
          <t>🔴 콘센트 수량 산출 없음</t>
        </is>
      </c>
    </row>
    <row r="31">
      <c r="A31" s="177" t="n">
        <v>26</v>
      </c>
      <c r="B31" s="178" t="inlineStr">
        <is>
          <t>방우 콘센트</t>
        </is>
      </c>
      <c r="C31" s="178" t="inlineStr">
        <is>
          <t>2구</t>
        </is>
      </c>
      <c r="D31" s="177" t="inlineStr">
        <is>
          <t>개</t>
        </is>
      </c>
      <c r="E31" s="179" t="n">
        <v>19</v>
      </c>
      <c r="F31" s="179" t="n">
        <v>0</v>
      </c>
      <c r="G31" s="179" t="n">
        <v>-19</v>
      </c>
      <c r="H31" s="177" t="inlineStr">
        <is>
          <t>0%</t>
        </is>
      </c>
      <c r="I31" s="177" t="inlineStr">
        <is>
          <t>🔴 누락</t>
        </is>
      </c>
      <c r="J31" s="178" t="inlineStr">
        <is>
          <t>🔴 동일</t>
        </is>
      </c>
    </row>
    <row r="32">
      <c r="A32" s="177" t="n">
        <v>27</v>
      </c>
      <c r="B32" s="178" t="inlineStr">
        <is>
          <t>곤도라 콘센트</t>
        </is>
      </c>
      <c r="C32" s="178" t="inlineStr">
        <is>
          <t>3상4선 주물방수</t>
        </is>
      </c>
      <c r="D32" s="177" t="inlineStr">
        <is>
          <t>SET</t>
        </is>
      </c>
      <c r="E32" s="179" t="n">
        <v>11</v>
      </c>
      <c r="F32" s="179" t="n">
        <v>0</v>
      </c>
      <c r="G32" s="179" t="n">
        <v>-11</v>
      </c>
      <c r="H32" s="177" t="inlineStr">
        <is>
          <t>0%</t>
        </is>
      </c>
      <c r="I32" s="177" t="inlineStr">
        <is>
          <t>🔴 누락</t>
        </is>
      </c>
      <c r="J32" s="178" t="inlineStr">
        <is>
          <t>🔴 동일</t>
        </is>
      </c>
    </row>
    <row r="33">
      <c r="A33" s="177" t="n">
        <v>28</v>
      </c>
      <c r="B33" s="178" t="inlineStr">
        <is>
          <t>매입 스위치</t>
        </is>
      </c>
      <c r="C33" s="178" t="inlineStr">
        <is>
          <t>1로1구/1로3구</t>
        </is>
      </c>
      <c r="D33" s="177" t="inlineStr">
        <is>
          <t>개</t>
        </is>
      </c>
      <c r="E33" s="179" t="n">
        <v>11</v>
      </c>
      <c r="F33" s="179" t="n">
        <v>0</v>
      </c>
      <c r="G33" s="179" t="n">
        <v>-11</v>
      </c>
      <c r="H33" s="177" t="inlineStr">
        <is>
          <t>0%</t>
        </is>
      </c>
      <c r="I33" s="177" t="inlineStr">
        <is>
          <t>🔴 누락</t>
        </is>
      </c>
      <c r="J33" s="178" t="inlineStr">
        <is>
          <t>🔴 스위치 수량 산출 없음</t>
        </is>
      </c>
    </row>
    <row r="34">
      <c r="A34" s="177" t="n">
        <v>29</v>
      </c>
      <c r="B34" s="178" t="inlineStr">
        <is>
          <t>모듈라짹</t>
        </is>
      </c>
      <c r="C34" s="178" t="inlineStr">
        <is>
          <t>Cat.6 2구</t>
        </is>
      </c>
      <c r="D34" s="177" t="inlineStr">
        <is>
          <t>개</t>
        </is>
      </c>
      <c r="E34" s="179" t="n">
        <v>12</v>
      </c>
      <c r="F34" s="179" t="n">
        <v>0</v>
      </c>
      <c r="G34" s="179" t="n">
        <v>-12</v>
      </c>
      <c r="H34" s="177" t="inlineStr">
        <is>
          <t>0%</t>
        </is>
      </c>
      <c r="I34" s="177" t="inlineStr">
        <is>
          <t>🔴 누락</t>
        </is>
      </c>
      <c r="J34" s="178" t="inlineStr">
        <is>
          <t>🔴 통신 기구 누락</t>
        </is>
      </c>
    </row>
    <row r="35">
      <c r="A35" s="177" t="n">
        <v>30</v>
      </c>
      <c r="B35" s="178" t="inlineStr">
        <is>
          <t>음량조절기</t>
        </is>
      </c>
      <c r="C35" s="178" t="inlineStr">
        <is>
          <t>ATT 3단</t>
        </is>
      </c>
      <c r="D35" s="177" t="inlineStr">
        <is>
          <t>개</t>
        </is>
      </c>
      <c r="E35" s="179" t="n">
        <v>7</v>
      </c>
      <c r="F35" s="179" t="n">
        <v>0</v>
      </c>
      <c r="G35" s="179" t="n">
        <v>-7</v>
      </c>
      <c r="H35" s="177" t="inlineStr">
        <is>
          <t>0%</t>
        </is>
      </c>
      <c r="I35" s="177" t="inlineStr">
        <is>
          <t>🔴 누락</t>
        </is>
      </c>
      <c r="J35" s="178" t="inlineStr">
        <is>
          <t>🔴 방송 공사 누락</t>
        </is>
      </c>
    </row>
    <row r="36">
      <c r="A36" s="177" t="n">
        <v>31</v>
      </c>
      <c r="B36" s="178" t="inlineStr">
        <is>
          <t>시각경보기 전원반</t>
        </is>
      </c>
      <c r="C36" s="178" t="inlineStr">
        <is>
          <t>15A</t>
        </is>
      </c>
      <c r="D36" s="177" t="inlineStr">
        <is>
          <t>개</t>
        </is>
      </c>
      <c r="E36" s="179" t="n">
        <v>1</v>
      </c>
      <c r="F36" s="179" t="n">
        <v>0</v>
      </c>
      <c r="G36" s="179" t="n">
        <v>-1</v>
      </c>
      <c r="H36" s="177" t="inlineStr">
        <is>
          <t>0%</t>
        </is>
      </c>
      <c r="I36" s="177" t="inlineStr">
        <is>
          <t>🔴 누락</t>
        </is>
      </c>
      <c r="J36" s="178" t="inlineStr">
        <is>
          <t>🔴 시각경보 공사 누락</t>
        </is>
      </c>
    </row>
    <row r="37">
      <c r="A37" s="177" t="n">
        <v>32</v>
      </c>
      <c r="B37" s="178" t="inlineStr">
        <is>
          <t>분전반 LP-M SUS</t>
        </is>
      </c>
      <c r="C37" s="178" t="inlineStr"/>
      <c r="D37" s="177" t="inlineStr">
        <is>
          <t>개</t>
        </is>
      </c>
      <c r="E37" s="179" t="n">
        <v>1</v>
      </c>
      <c r="F37" s="179" t="n">
        <v>0</v>
      </c>
      <c r="G37" s="179" t="n">
        <v>-1</v>
      </c>
      <c r="H37" s="177" t="inlineStr">
        <is>
          <t>0%</t>
        </is>
      </c>
      <c r="I37" s="177" t="inlineStr">
        <is>
          <t>🔴 누락</t>
        </is>
      </c>
      <c r="J37" s="178" t="inlineStr">
        <is>
          <t>🔴 분전반 함체 EQP 누락</t>
        </is>
      </c>
    </row>
    <row r="38">
      <c r="A38" s="177" t="n">
        <v>33</v>
      </c>
      <c r="B38" s="178" t="inlineStr">
        <is>
          <t>분전반 LP-2M SUS</t>
        </is>
      </c>
      <c r="C38" s="178" t="inlineStr"/>
      <c r="D38" s="177" t="inlineStr">
        <is>
          <t>개</t>
        </is>
      </c>
      <c r="E38" s="179" t="n">
        <v>1</v>
      </c>
      <c r="F38" s="179" t="n">
        <v>0</v>
      </c>
      <c r="G38" s="179" t="n">
        <v>-1</v>
      </c>
      <c r="H38" s="177" t="inlineStr">
        <is>
          <t>0%</t>
        </is>
      </c>
      <c r="I38" s="177" t="inlineStr">
        <is>
          <t>🔴 누락</t>
        </is>
      </c>
      <c r="J38" s="178" t="inlineStr">
        <is>
          <t>🔴 동일</t>
        </is>
      </c>
    </row>
    <row r="39">
      <c r="A39" s="177" t="n">
        <v>34</v>
      </c>
      <c r="B39" s="178" t="inlineStr">
        <is>
          <t>분전반 LP-E SUS</t>
        </is>
      </c>
      <c r="C39" s="178" t="inlineStr"/>
      <c r="D39" s="177" t="inlineStr">
        <is>
          <t>개</t>
        </is>
      </c>
      <c r="E39" s="179" t="n">
        <v>1</v>
      </c>
      <c r="F39" s="179" t="n">
        <v>0</v>
      </c>
      <c r="G39" s="179" t="n">
        <v>-1</v>
      </c>
      <c r="H39" s="177" t="inlineStr">
        <is>
          <t>0%</t>
        </is>
      </c>
      <c r="I39" s="177" t="inlineStr">
        <is>
          <t>🔴 누락</t>
        </is>
      </c>
      <c r="J39" s="178" t="inlineStr">
        <is>
          <t>🔴 동일</t>
        </is>
      </c>
    </row>
    <row r="40">
      <c r="A40" s="156" t="inlineStr">
        <is>
          <t>[부속·지지]</t>
        </is>
      </c>
      <c r="B40" s="174" t="n"/>
      <c r="C40" s="174" t="n"/>
      <c r="D40" s="174" t="n"/>
      <c r="E40" s="174" t="n"/>
      <c r="F40" s="174" t="n"/>
      <c r="G40" s="174" t="n"/>
      <c r="H40" s="174" t="n"/>
      <c r="I40" s="174" t="n"/>
      <c r="J40" s="175" t="n"/>
    </row>
    <row r="41">
      <c r="A41" s="177" t="n">
        <v>35</v>
      </c>
      <c r="B41" s="178" t="inlineStr">
        <is>
          <t>파이프행가 (새들)</t>
        </is>
      </c>
      <c r="C41" s="178" t="inlineStr">
        <is>
          <t>16C</t>
        </is>
      </c>
      <c r="D41" s="177" t="inlineStr">
        <is>
          <t>개</t>
        </is>
      </c>
      <c r="E41" s="179" t="n">
        <v>671</v>
      </c>
      <c r="F41" s="179" t="n">
        <v>295</v>
      </c>
      <c r="G41" s="179" t="n">
        <v>-376</v>
      </c>
      <c r="H41" s="177" t="inlineStr">
        <is>
          <t>44%</t>
        </is>
      </c>
      <c r="I41" s="177" t="inlineStr">
        <is>
          <t>🔴 과소</t>
        </is>
      </c>
      <c r="J41" s="178" t="inlineStr">
        <is>
          <t>🔴 44% — 1.5m 간격이지만 실제 고정점 더 많음 (굴곡·분기점 포함)</t>
        </is>
      </c>
    </row>
    <row r="42">
      <c r="A42" s="177" t="n">
        <v>36</v>
      </c>
      <c r="B42" s="178" t="inlineStr">
        <is>
          <t>파이프행가 (새들)</t>
        </is>
      </c>
      <c r="C42" s="178" t="inlineStr">
        <is>
          <t>22C</t>
        </is>
      </c>
      <c r="D42" s="177" t="inlineStr">
        <is>
          <t>개</t>
        </is>
      </c>
      <c r="E42" s="179" t="n">
        <v>1036</v>
      </c>
      <c r="F42" s="179" t="n">
        <v>500</v>
      </c>
      <c r="G42" s="179" t="n">
        <v>-536</v>
      </c>
      <c r="H42" s="177" t="inlineStr">
        <is>
          <t>48%</t>
        </is>
      </c>
      <c r="I42" s="177" t="inlineStr">
        <is>
          <t>🔴 과소</t>
        </is>
      </c>
      <c r="J42" s="178" t="inlineStr">
        <is>
          <t>🔴 48% — 동일 원인</t>
        </is>
      </c>
    </row>
    <row r="43">
      <c r="A43" s="177" t="n">
        <v>37</v>
      </c>
      <c r="B43" s="178" t="inlineStr">
        <is>
          <t>파이프행가 (새들)</t>
        </is>
      </c>
      <c r="C43" s="178" t="inlineStr">
        <is>
          <t>28C</t>
        </is>
      </c>
      <c r="D43" s="177" t="inlineStr">
        <is>
          <t>개</t>
        </is>
      </c>
      <c r="E43" s="179" t="n">
        <v>88</v>
      </c>
      <c r="F43" s="179" t="n">
        <v>195</v>
      </c>
      <c r="G43" s="179" t="n">
        <v>107</v>
      </c>
      <c r="H43" s="177" t="inlineStr">
        <is>
          <t>222%</t>
        </is>
      </c>
      <c r="I43" s="177" t="inlineStr">
        <is>
          <t>🔴 과다</t>
        </is>
      </c>
      <c r="J43" s="178" t="inlineStr">
        <is>
          <t>AI 과다 — ST28 배관 자체가 과다</t>
        </is>
      </c>
    </row>
    <row r="44">
      <c r="A44" s="180" t="n">
        <v>38</v>
      </c>
      <c r="B44" s="173" t="inlineStr">
        <is>
          <t>파이프행가 (새들)</t>
        </is>
      </c>
      <c r="C44" s="173" t="inlineStr">
        <is>
          <t>36C</t>
        </is>
      </c>
      <c r="D44" s="180" t="inlineStr">
        <is>
          <t>개</t>
        </is>
      </c>
      <c r="E44" s="181" t="n">
        <v>85</v>
      </c>
      <c r="F44" s="181" t="n">
        <v>61</v>
      </c>
      <c r="G44" s="181" t="n">
        <v>-24</v>
      </c>
      <c r="H44" s="180" t="inlineStr">
        <is>
          <t>72%</t>
        </is>
      </c>
      <c r="I44" s="180" t="inlineStr">
        <is>
          <t>🟡 미달</t>
        </is>
      </c>
      <c r="J44" s="173" t="inlineStr">
        <is>
          <t>🟡</t>
        </is>
      </c>
    </row>
    <row r="45">
      <c r="A45" s="177" t="n">
        <v>39</v>
      </c>
      <c r="B45" s="178" t="inlineStr">
        <is>
          <t>파이프행가 (새들)</t>
        </is>
      </c>
      <c r="C45" s="178" t="inlineStr">
        <is>
          <t>54/82C</t>
        </is>
      </c>
      <c r="D45" s="177" t="inlineStr">
        <is>
          <t>개</t>
        </is>
      </c>
      <c r="E45" s="179" t="n">
        <v>127</v>
      </c>
      <c r="F45" s="179" t="n">
        <v>0</v>
      </c>
      <c r="G45" s="179" t="n">
        <v>-127</v>
      </c>
      <c r="H45" s="177" t="inlineStr">
        <is>
          <t>0%</t>
        </is>
      </c>
      <c r="I45" s="177" t="inlineStr">
        <is>
          <t>🔴 누락</t>
        </is>
      </c>
      <c r="J45" s="178" t="inlineStr">
        <is>
          <t>🔴 간선 54/82mm 누락 여파</t>
        </is>
      </c>
    </row>
    <row r="46">
      <c r="A46" s="177" t="n">
        <v>40</v>
      </c>
      <c r="B46" s="178" t="inlineStr">
        <is>
          <t>스트롱앵커</t>
        </is>
      </c>
      <c r="C46" s="178" t="inlineStr">
        <is>
          <t>3/8</t>
        </is>
      </c>
      <c r="D46" s="177" t="inlineStr">
        <is>
          <t>개</t>
        </is>
      </c>
      <c r="E46" s="179" t="n">
        <v>2007</v>
      </c>
      <c r="F46" s="179" t="n">
        <v>0</v>
      </c>
      <c r="G46" s="179" t="n">
        <v>-2007</v>
      </c>
      <c r="H46" s="177" t="inlineStr">
        <is>
          <t>0%</t>
        </is>
      </c>
      <c r="I46" s="177" t="inlineStr">
        <is>
          <t>🔴 누락</t>
        </is>
      </c>
      <c r="J46" s="178" t="inlineStr">
        <is>
          <t>🔴 앵커볼트 완전 누락 (천장 고정점 마다 필수)</t>
        </is>
      </c>
    </row>
    <row r="47">
      <c r="A47" s="177" t="n">
        <v>41</v>
      </c>
      <c r="B47" s="178" t="inlineStr">
        <is>
          <t>행거볼트 M10</t>
        </is>
      </c>
      <c r="C47" s="178" t="inlineStr">
        <is>
          <t>1000mm</t>
        </is>
      </c>
      <c r="D47" s="177" t="inlineStr">
        <is>
          <t>개</t>
        </is>
      </c>
      <c r="E47" s="179" t="n">
        <v>2007</v>
      </c>
      <c r="F47" s="179" t="n">
        <v>1025</v>
      </c>
      <c r="G47" s="179" t="n">
        <v>-982</v>
      </c>
      <c r="H47" s="177" t="inlineStr">
        <is>
          <t>51%</t>
        </is>
      </c>
      <c r="I47" s="177" t="inlineStr">
        <is>
          <t>🔴 과소</t>
        </is>
      </c>
      <c r="J47" s="178" t="inlineStr">
        <is>
          <t>🔴 51% — 실제는 행거 1개당 앵커 1개 비율</t>
        </is>
      </c>
    </row>
    <row r="48">
      <c r="A48" s="177" t="n">
        <v>42</v>
      </c>
      <c r="B48" s="178" t="inlineStr">
        <is>
          <t>6각너트</t>
        </is>
      </c>
      <c r="C48" s="178" t="inlineStr">
        <is>
          <t>3/8,M10</t>
        </is>
      </c>
      <c r="D48" s="177" t="inlineStr">
        <is>
          <t>EA</t>
        </is>
      </c>
      <c r="E48" s="179" t="n">
        <v>4014</v>
      </c>
      <c r="F48" s="179" t="n">
        <v>0</v>
      </c>
      <c r="G48" s="179" t="n">
        <v>-4014</v>
      </c>
      <c r="H48" s="177" t="inlineStr">
        <is>
          <t>0%</t>
        </is>
      </c>
      <c r="I48" s="177" t="inlineStr">
        <is>
          <t>🔴 누락</t>
        </is>
      </c>
      <c r="J48" s="178" t="inlineStr">
        <is>
          <t>🔴 너트 완전 누락 (앵커당 2개)</t>
        </is>
      </c>
    </row>
    <row r="49">
      <c r="A49" s="177" t="n">
        <v>43</v>
      </c>
      <c r="B49" s="178" t="inlineStr">
        <is>
          <t>스프링와샤</t>
        </is>
      </c>
      <c r="C49" s="178" t="inlineStr">
        <is>
          <t>D10</t>
        </is>
      </c>
      <c r="D49" s="177" t="inlineStr">
        <is>
          <t>EA</t>
        </is>
      </c>
      <c r="E49" s="179" t="n">
        <v>4014</v>
      </c>
      <c r="F49" s="179" t="n">
        <v>0</v>
      </c>
      <c r="G49" s="179" t="n">
        <v>-4014</v>
      </c>
      <c r="H49" s="177" t="inlineStr">
        <is>
          <t>0%</t>
        </is>
      </c>
      <c r="I49" s="177" t="inlineStr">
        <is>
          <t>🔴 누락</t>
        </is>
      </c>
      <c r="J49" s="178" t="inlineStr">
        <is>
          <t>🔴 와샤 완전 누락 (앵커당 2개)</t>
        </is>
      </c>
    </row>
    <row r="50">
      <c r="A50" s="177" t="n">
        <v>44</v>
      </c>
      <c r="B50" s="178" t="inlineStr">
        <is>
          <t>와이어 커넥터</t>
        </is>
      </c>
      <c r="C50" s="178" t="inlineStr">
        <is>
          <t>6~10㎟ 2가닥</t>
        </is>
      </c>
      <c r="D50" s="177" t="inlineStr">
        <is>
          <t>개</t>
        </is>
      </c>
      <c r="E50" s="179" t="n">
        <v>1262</v>
      </c>
      <c r="F50" s="179" t="n">
        <v>510</v>
      </c>
      <c r="G50" s="179" t="n">
        <v>-752</v>
      </c>
      <c r="H50" s="177" t="inlineStr">
        <is>
          <t>40%</t>
        </is>
      </c>
      <c r="I50" s="177" t="inlineStr">
        <is>
          <t>🔴 과소</t>
        </is>
      </c>
      <c r="J50" s="178" t="inlineStr">
        <is>
          <t>🟡 단위 차이 고려해도 과소 (40%)</t>
        </is>
      </c>
    </row>
    <row r="51">
      <c r="A51" s="177" t="n">
        <v>45</v>
      </c>
      <c r="B51" s="178" t="inlineStr">
        <is>
          <t>노말밴드</t>
        </is>
      </c>
      <c r="C51" s="178" t="inlineStr">
        <is>
          <t>28~82mm</t>
        </is>
      </c>
      <c r="D51" s="177" t="inlineStr">
        <is>
          <t>개</t>
        </is>
      </c>
      <c r="E51" s="179" t="n">
        <v>24</v>
      </c>
      <c r="F51" s="179" t="n">
        <v>0</v>
      </c>
      <c r="G51" s="179" t="n">
        <v>-24</v>
      </c>
      <c r="H51" s="177" t="inlineStr">
        <is>
          <t>0%</t>
        </is>
      </c>
      <c r="I51" s="177" t="inlineStr">
        <is>
          <t>🔴 누락</t>
        </is>
      </c>
      <c r="J51" s="178" t="inlineStr">
        <is>
          <t>🔴 노말밴드 산출 누락 — 90° 꺾임마다 필수</t>
        </is>
      </c>
    </row>
    <row r="52">
      <c r="A52" s="177" t="n">
        <v>46</v>
      </c>
      <c r="B52" s="178" t="inlineStr">
        <is>
          <t>러그단자</t>
        </is>
      </c>
      <c r="C52" s="178" t="inlineStr">
        <is>
          <t>10~95㎟</t>
        </is>
      </c>
      <c r="D52" s="177" t="inlineStr">
        <is>
          <t>개</t>
        </is>
      </c>
      <c r="E52" s="179" t="n">
        <v>68</v>
      </c>
      <c r="F52" s="179" t="n">
        <v>0</v>
      </c>
      <c r="G52" s="179" t="n">
        <v>-68</v>
      </c>
      <c r="H52" s="177" t="inlineStr">
        <is>
          <t>0%</t>
        </is>
      </c>
      <c r="I52" s="177" t="inlineStr">
        <is>
          <t>🔴 누락</t>
        </is>
      </c>
      <c r="J52" s="178" t="inlineStr">
        <is>
          <t>🔴 간선 단말처리 부속 누락</t>
        </is>
      </c>
    </row>
    <row r="53">
      <c r="A53" s="177" t="n">
        <v>47</v>
      </c>
      <c r="B53" s="178" t="inlineStr">
        <is>
          <t>압착단자</t>
        </is>
      </c>
      <c r="C53" s="178" t="inlineStr">
        <is>
          <t>6~10㎟</t>
        </is>
      </c>
      <c r="D53" s="177" t="inlineStr">
        <is>
          <t>개</t>
        </is>
      </c>
      <c r="E53" s="179" t="n">
        <v>60</v>
      </c>
      <c r="F53" s="179" t="n">
        <v>0</v>
      </c>
      <c r="G53" s="179" t="n">
        <v>-60</v>
      </c>
      <c r="H53" s="177" t="inlineStr">
        <is>
          <t>0%</t>
        </is>
      </c>
      <c r="I53" s="177" t="inlineStr">
        <is>
          <t>🔴 누락</t>
        </is>
      </c>
      <c r="J53" s="178" t="inlineStr">
        <is>
          <t>🔴 분기 단말처리 부속 누락</t>
        </is>
      </c>
    </row>
    <row r="54">
      <c r="A54" s="177" t="n">
        <v>48</v>
      </c>
      <c r="B54" s="178" t="inlineStr">
        <is>
          <t>터미날캡</t>
        </is>
      </c>
      <c r="C54" s="178" t="inlineStr">
        <is>
          <t>6~95㎟</t>
        </is>
      </c>
      <c r="D54" s="177" t="inlineStr">
        <is>
          <t>개</t>
        </is>
      </c>
      <c r="E54" s="179" t="n">
        <v>90</v>
      </c>
      <c r="F54" s="179" t="n">
        <v>0</v>
      </c>
      <c r="G54" s="179" t="n">
        <v>-90</v>
      </c>
      <c r="H54" s="177" t="inlineStr">
        <is>
          <t>0%</t>
        </is>
      </c>
      <c r="I54" s="177" t="inlineStr">
        <is>
          <t>🔴 누락</t>
        </is>
      </c>
      <c r="J54" s="178" t="inlineStr">
        <is>
          <t>🔴 단말 절연 캡 누락</t>
        </is>
      </c>
    </row>
    <row r="55">
      <c r="A55" s="177" t="n">
        <v>49</v>
      </c>
      <c r="B55" s="178" t="inlineStr">
        <is>
          <t>아우트렛박스 4각</t>
        </is>
      </c>
      <c r="C55" s="178" t="inlineStr">
        <is>
          <t>54mm</t>
        </is>
      </c>
      <c r="D55" s="177" t="inlineStr">
        <is>
          <t>개</t>
        </is>
      </c>
      <c r="E55" s="179" t="n">
        <v>512</v>
      </c>
      <c r="F55" s="179" t="n">
        <v>170</v>
      </c>
      <c r="G55" s="179" t="n">
        <v>-342</v>
      </c>
      <c r="H55" s="177" t="inlineStr">
        <is>
          <t>33%</t>
        </is>
      </c>
      <c r="I55" s="177" t="inlineStr">
        <is>
          <t>🔴 과소</t>
        </is>
      </c>
      <c r="J55" s="178" t="inlineStr">
        <is>
          <t>🔴 33% — 기구 접속점 수 과소산정</t>
        </is>
      </c>
    </row>
    <row r="56">
      <c r="A56" s="156" t="inlineStr">
        <is>
          <t>[공정]</t>
        </is>
      </c>
      <c r="B56" s="174" t="n"/>
      <c r="C56" s="174" t="n"/>
      <c r="D56" s="174" t="n"/>
      <c r="E56" s="174" t="n"/>
      <c r="F56" s="174" t="n"/>
      <c r="G56" s="174" t="n"/>
      <c r="H56" s="174" t="n"/>
      <c r="I56" s="174" t="n"/>
      <c r="J56" s="175" t="n"/>
    </row>
    <row r="57">
      <c r="A57" s="180" t="n">
        <v>50</v>
      </c>
      <c r="B57" s="173" t="inlineStr">
        <is>
          <t>공정 수</t>
        </is>
      </c>
      <c r="C57" s="173" t="inlineStr"/>
      <c r="D57" s="180" t="inlineStr">
        <is>
          <t>개</t>
        </is>
      </c>
      <c r="E57" s="181" t="n">
        <v>14</v>
      </c>
      <c r="F57" s="181" t="n">
        <v>11</v>
      </c>
      <c r="G57" s="181" t="n">
        <v>-3</v>
      </c>
      <c r="H57" s="180" t="inlineStr">
        <is>
          <t>79%</t>
        </is>
      </c>
      <c r="I57" s="180" t="inlineStr">
        <is>
          <t>🟡 미달</t>
        </is>
      </c>
      <c r="J57" s="173" t="inlineStr">
        <is>
          <t>🔴 누락 공정: 통신·방송·CCTV·자탐·시각경보·임시전원</t>
        </is>
      </c>
    </row>
    <row r="58">
      <c r="A58" s="177" t="n">
        <v>51</v>
      </c>
      <c r="B58" s="178" t="inlineStr">
        <is>
          <t>노무비 (내선전공)</t>
        </is>
      </c>
      <c r="C58" s="178" t="inlineStr"/>
      <c r="D58" s="177" t="inlineStr">
        <is>
          <t>인</t>
        </is>
      </c>
      <c r="E58" s="179" t="n">
        <v>264</v>
      </c>
      <c r="F58" s="179" t="n">
        <v>0</v>
      </c>
      <c r="G58" s="179" t="n">
        <v>-264</v>
      </c>
      <c r="H58" s="177" t="inlineStr">
        <is>
          <t>0%</t>
        </is>
      </c>
      <c r="I58" s="177" t="inlineStr">
        <is>
          <t>🔴 누락</t>
        </is>
      </c>
      <c r="J58" s="178" t="inlineStr">
        <is>
          <t>🔴 노무비 인공수 산출 없음</t>
        </is>
      </c>
    </row>
    <row r="59">
      <c r="A59" s="177" t="n">
        <v>52</v>
      </c>
      <c r="B59" s="178" t="inlineStr">
        <is>
          <t>노무비 (저압케이블공)</t>
        </is>
      </c>
      <c r="C59" s="178" t="inlineStr"/>
      <c r="D59" s="177" t="inlineStr">
        <is>
          <t>인</t>
        </is>
      </c>
      <c r="E59" s="179" t="n">
        <v>15</v>
      </c>
      <c r="F59" s="179" t="n">
        <v>0</v>
      </c>
      <c r="G59" s="179" t="n">
        <v>-15</v>
      </c>
      <c r="H59" s="177" t="inlineStr">
        <is>
          <t>0%</t>
        </is>
      </c>
      <c r="I59" s="177" t="inlineStr">
        <is>
          <t>🔴 누락</t>
        </is>
      </c>
      <c r="J59" s="178" t="inlineStr">
        <is>
          <t>🔴 동일</t>
        </is>
      </c>
    </row>
    <row r="61">
      <c r="A61" s="183" t="inlineStr">
        <is>
          <t>▶ 전체 평가: AI 산출은 사람 대비 배관 46%, 전선 61% 수준. 통신·소방·방송 6개 공정 전면 누락. 기구 EQP 0%. 부속재 30~50%.</t>
        </is>
      </c>
    </row>
  </sheetData>
  <mergeCells count="7">
    <mergeCell ref="A1:J1"/>
    <mergeCell ref="A61:J61"/>
    <mergeCell ref="A22:J22"/>
    <mergeCell ref="A40:J40"/>
    <mergeCell ref="A56:J56"/>
    <mergeCell ref="A3:J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2026-04-08T00:11:49Z</dcterms:created>
  <dcterms:modified xmlns:dcterms="http://purl.org/dc/terms/" xmlns:xsi="http://www.w3.org/2001/XMLSchema-instance" xsi:type="dcterms:W3CDTF">2026-04-08T08:23:46Z</dcterms:modified>
  <cp:revision>0</cp:revision>
</cp:coreProperties>
</file>